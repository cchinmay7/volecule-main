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jects\Volecule\md\"/>
    </mc:Choice>
  </mc:AlternateContent>
  <xr:revisionPtr revIDLastSave="0" documentId="8_{B071992E-ACFE-49A1-9CEA-AD1E1D345FC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cheduler Zer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1" l="1"/>
  <c r="F11" i="1" s="1"/>
  <c r="E12" i="1" s="1"/>
  <c r="F12" i="1" s="1"/>
  <c r="E13" i="1" s="1"/>
  <c r="F13" i="1" s="1"/>
  <c r="E14" i="1" s="1"/>
  <c r="F14" i="1" s="1"/>
  <c r="E15" i="1" s="1"/>
  <c r="F15" i="1" s="1"/>
  <c r="E16" i="1" s="1"/>
  <c r="F16" i="1" s="1"/>
  <c r="E17" i="1" s="1"/>
  <c r="F17" i="1" s="1"/>
  <c r="E19" i="1" s="1"/>
  <c r="F19" i="1" s="1"/>
  <c r="E20" i="1" s="1"/>
  <c r="F20" i="1" s="1"/>
  <c r="E21" i="1" s="1"/>
  <c r="F21" i="1" s="1"/>
  <c r="E22" i="1" s="1"/>
  <c r="F22" i="1" s="1"/>
  <c r="E23" i="1" s="1"/>
  <c r="F23" i="1" s="1"/>
  <c r="E24" i="1" s="1"/>
  <c r="F24" i="1" s="1"/>
  <c r="E25" i="1" s="1"/>
  <c r="F25" i="1" s="1"/>
  <c r="E26" i="1" s="1"/>
  <c r="F26" i="1" s="1"/>
  <c r="E27" i="1" s="1"/>
  <c r="F27" i="1" s="1"/>
  <c r="E28" i="1" s="1"/>
  <c r="F28" i="1" s="1"/>
  <c r="E29" i="1" s="1"/>
  <c r="F29" i="1" s="1"/>
  <c r="E30" i="1" s="1"/>
  <c r="F30" i="1" s="1"/>
  <c r="E31" i="1" s="1"/>
  <c r="F31" i="1" s="1"/>
  <c r="E32" i="1" s="1"/>
  <c r="F32" i="1" s="1"/>
  <c r="E34" i="1" s="1"/>
  <c r="F34" i="1" s="1"/>
  <c r="E35" i="1" s="1"/>
  <c r="F35" i="1" s="1"/>
  <c r="E36" i="1" s="1"/>
  <c r="F36" i="1" s="1"/>
  <c r="E37" i="1" s="1"/>
  <c r="F37" i="1" s="1"/>
  <c r="E38" i="1" s="1"/>
  <c r="F38" i="1" s="1"/>
  <c r="E39" i="1" s="1"/>
  <c r="F39" i="1" s="1"/>
  <c r="E40" i="1" s="1"/>
  <c r="F40" i="1" s="1"/>
  <c r="E41" i="1" s="1"/>
  <c r="F41" i="1" s="1"/>
  <c r="E42" i="1" s="1"/>
  <c r="F42" i="1" s="1"/>
  <c r="E44" i="1" s="1"/>
  <c r="F44" i="1" s="1"/>
  <c r="E45" i="1" s="1"/>
  <c r="F45" i="1" s="1"/>
  <c r="E46" i="1" s="1"/>
  <c r="F46" i="1" s="1"/>
  <c r="E47" i="1" s="1"/>
  <c r="F47" i="1" s="1"/>
  <c r="E48" i="1" s="1"/>
  <c r="F48" i="1" s="1"/>
  <c r="E49" i="1" s="1"/>
  <c r="F49" i="1" s="1"/>
  <c r="E50" i="1" s="1"/>
  <c r="F50" i="1" s="1"/>
  <c r="E51" i="1" s="1"/>
  <c r="F51" i="1" s="1"/>
  <c r="E52" i="1" s="1"/>
  <c r="F52" i="1" s="1"/>
  <c r="E54" i="1" s="1"/>
  <c r="F54" i="1" s="1"/>
  <c r="E55" i="1" s="1"/>
  <c r="F55" i="1" s="1"/>
  <c r="E56" i="1" s="1"/>
  <c r="F56" i="1" s="1"/>
  <c r="E57" i="1" s="1"/>
  <c r="F57" i="1" s="1"/>
  <c r="E58" i="1" s="1"/>
  <c r="F58" i="1" s="1"/>
  <c r="E59" i="1" s="1"/>
  <c r="F59" i="1" s="1"/>
  <c r="E60" i="1" s="1"/>
  <c r="F60" i="1" s="1"/>
  <c r="E61" i="1" s="1"/>
  <c r="F61" i="1" s="1"/>
  <c r="E62" i="1" s="1"/>
  <c r="F62" i="1" s="1"/>
  <c r="E64" i="1" s="1"/>
  <c r="F64" i="1" s="1"/>
  <c r="E65" i="1" s="1"/>
  <c r="F65" i="1" s="1"/>
  <c r="E66" i="1" s="1"/>
  <c r="F66" i="1" s="1"/>
  <c r="E67" i="1" s="1"/>
  <c r="F67" i="1" s="1"/>
  <c r="E68" i="1" s="1"/>
  <c r="F68" i="1" s="1"/>
  <c r="E69" i="1" s="1"/>
  <c r="F69" i="1" s="1"/>
  <c r="E70" i="1" s="1"/>
  <c r="F70" i="1" s="1"/>
  <c r="E71" i="1" s="1"/>
  <c r="F71" i="1" s="1"/>
  <c r="E72" i="1" s="1"/>
  <c r="F72" i="1" s="1"/>
  <c r="E74" i="1" s="1"/>
  <c r="F74" i="1" s="1"/>
  <c r="E75" i="1" s="1"/>
  <c r="F75" i="1" s="1"/>
  <c r="E76" i="1" s="1"/>
  <c r="F76" i="1" s="1"/>
  <c r="E77" i="1" s="1"/>
  <c r="F77" i="1" s="1"/>
  <c r="E78" i="1" s="1"/>
  <c r="F78" i="1" s="1"/>
  <c r="E79" i="1" s="1"/>
  <c r="F79" i="1" s="1"/>
  <c r="E80" i="1" s="1"/>
  <c r="F80" i="1" s="1"/>
  <c r="E81" i="1" s="1"/>
  <c r="F81" i="1" s="1"/>
  <c r="E82" i="1" s="1"/>
  <c r="F82" i="1" s="1"/>
  <c r="E84" i="1" s="1"/>
  <c r="F84" i="1" s="1"/>
  <c r="E85" i="1" s="1"/>
  <c r="F85" i="1" s="1"/>
  <c r="E86" i="1" s="1"/>
  <c r="F86" i="1" s="1"/>
  <c r="E87" i="1" s="1"/>
  <c r="F87" i="1" s="1"/>
  <c r="E88" i="1" s="1"/>
  <c r="F88" i="1" s="1"/>
  <c r="E89" i="1" s="1"/>
  <c r="F89" i="1" s="1"/>
  <c r="E90" i="1" s="1"/>
  <c r="F90" i="1" s="1"/>
  <c r="E91" i="1" s="1"/>
  <c r="F91" i="1" s="1"/>
  <c r="E92" i="1" s="1"/>
  <c r="F92" i="1" s="1"/>
  <c r="E94" i="1" s="1"/>
  <c r="F94" i="1" s="1"/>
  <c r="E95" i="1" s="1"/>
  <c r="F95" i="1" s="1"/>
  <c r="E96" i="1" s="1"/>
  <c r="F96" i="1" s="1"/>
  <c r="E97" i="1" s="1"/>
  <c r="F97" i="1" s="1"/>
  <c r="E98" i="1" s="1"/>
  <c r="F98" i="1" s="1"/>
  <c r="E99" i="1" s="1"/>
  <c r="F99" i="1" s="1"/>
  <c r="E100" i="1" s="1"/>
  <c r="F100" i="1" s="1"/>
  <c r="E101" i="1" s="1"/>
  <c r="F101" i="1" s="1"/>
  <c r="E102" i="1" s="1"/>
  <c r="F102" i="1" s="1"/>
  <c r="F6" i="1" l="1"/>
  <c r="F5" i="1"/>
</calcChain>
</file>

<file path=xl/sharedStrings.xml><?xml version="1.0" encoding="utf-8"?>
<sst xmlns="http://schemas.openxmlformats.org/spreadsheetml/2006/main" count="293" uniqueCount="154">
  <si>
    <t>VOLECULE</t>
  </si>
  <si>
    <t>We don't execute. We only verify.</t>
  </si>
  <si>
    <t>PROJECT</t>
  </si>
  <si>
    <t>V04F01 — Madhav Arambol Residence (S+4 + Terrace + Mumty), Arambol, Goa</t>
  </si>
  <si>
    <t>FRAME FINISH</t>
  </si>
  <si>
    <t>DOCUMENT</t>
  </si>
  <si>
    <t>Scheduler Zero (Sch-0) — Baseline Structural Programme  |  Doc: V04F01-03</t>
  </si>
  <si>
    <t>BASIS</t>
  </si>
  <si>
    <t>Contractor structural programme (footings → mumty). Frame only — excludes finishes, waterproofing, MEP fit-out &amp; handover.</t>
  </si>
  <si>
    <t>BASELINE START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</si>
  <si>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</si>
  <si>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</si>
  <si>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</si>
  <si>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</si>
  <si>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</si>
  <si>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</si>
  <si>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</si>
  <si>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</si>
  <si>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</si>
  <si>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</si>
  <si>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</si>
  <si>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</si>
  <si>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</si>
  <si>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WORK</t>
  </si>
  <si>
    <t>ACTIVITY</t>
  </si>
  <si>
    <t>PRED.</t>
  </si>
  <si>
    <t>DUR (d)</t>
  </si>
  <si>
    <t>START</t>
  </si>
  <si>
    <t>FINISH</t>
  </si>
  <si>
    <t>FOUNDATION &amp; SUBSTRUCTURE</t>
  </si>
  <si>
    <t>W1</t>
  </si>
  <si>
    <t>Excavation in Hard Rock up to 1.5 m (Footings)</t>
  </si>
  <si>
    <t>—</t>
  </si>
  <si>
    <t>W2</t>
  </si>
  <si>
    <t>Soiling</t>
  </si>
  <si>
    <t>W3</t>
  </si>
  <si>
    <t>PCC for Footings</t>
  </si>
  <si>
    <t>W4</t>
  </si>
  <si>
    <t>Shuttering for Footing Boxes</t>
  </si>
  <si>
    <t>W5</t>
  </si>
  <si>
    <t>Tieing of Foundation Jaali &amp; Column</t>
  </si>
  <si>
    <t>W6</t>
  </si>
  <si>
    <t>Checking of Steel</t>
  </si>
  <si>
    <t>W7</t>
  </si>
  <si>
    <t>Casting of Footings</t>
  </si>
  <si>
    <t>R.C.C. WORKS — STUB COLUMN &amp; PLINTH</t>
  </si>
  <si>
    <t>W8</t>
  </si>
  <si>
    <t>Line-out &amp; Starter for Stub Column</t>
  </si>
  <si>
    <t>W9</t>
  </si>
  <si>
    <t>Shuttering for Stub Column</t>
  </si>
  <si>
    <t>W10</t>
  </si>
  <si>
    <t>Casting of Stub Column</t>
  </si>
  <si>
    <t>W11</t>
  </si>
  <si>
    <t>Excavation of Plinth Beams</t>
  </si>
  <si>
    <t>W12</t>
  </si>
  <si>
    <t>PCC Below</t>
  </si>
  <si>
    <t>W13</t>
  </si>
  <si>
    <t>Masonry Below Plinth</t>
  </si>
  <si>
    <t>W14</t>
  </si>
  <si>
    <t>Shuttering for Plinth Beam</t>
  </si>
  <si>
    <t>W15</t>
  </si>
  <si>
    <t>Tieing of Reinforcement</t>
  </si>
  <si>
    <t>W16</t>
  </si>
  <si>
    <t>W17</t>
  </si>
  <si>
    <t>Concreting of Plinth Beam</t>
  </si>
  <si>
    <t>W18</t>
  </si>
  <si>
    <t>De-shuttering of Plinth Beam</t>
  </si>
  <si>
    <t>W19</t>
  </si>
  <si>
    <t>Backfilling in Plinth</t>
  </si>
  <si>
    <t>W20</t>
  </si>
  <si>
    <t>Rubble Soling in Plinth</t>
  </si>
  <si>
    <t>W21</t>
  </si>
  <si>
    <t>PCC in Plinth</t>
  </si>
  <si>
    <t>SUPERSTRUCTURE — GROUND FLOOR</t>
  </si>
  <si>
    <t>W22</t>
  </si>
  <si>
    <t>Column Marking &amp; Starter Work</t>
  </si>
  <si>
    <t>W23</t>
  </si>
  <si>
    <t>Column Shuttering</t>
  </si>
  <si>
    <t>W24</t>
  </si>
  <si>
    <t>Column Steel Work</t>
  </si>
  <si>
    <t>W25</t>
  </si>
  <si>
    <t>Column Casting</t>
  </si>
  <si>
    <t>W26</t>
  </si>
  <si>
    <t>Slab Shuttering</t>
  </si>
  <si>
    <t>W27</t>
  </si>
  <si>
    <t>Slab Steel</t>
  </si>
  <si>
    <t>W28</t>
  </si>
  <si>
    <t>Electrical Conduits Work</t>
  </si>
  <si>
    <t>W29</t>
  </si>
  <si>
    <t>W30</t>
  </si>
  <si>
    <t>Casting of Slab incl. Staircase</t>
  </si>
  <si>
    <t>SUPERSTRUCTURE — FIRST FLOOR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</si>
  <si>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</si>
  <si>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</si>
  <si>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</si>
  <si>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</si>
  <si>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</si>
  <si>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</si>
  <si>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</si>
  <si>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</si>
  <si>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</si>
  <si>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SUPERSTRUCTURE — SECOND FLOOR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</si>
  <si>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</si>
  <si>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</si>
  <si>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</si>
  <si>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</si>
  <si>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</si>
  <si>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</si>
  <si>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</si>
  <si>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</si>
  <si>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</si>
  <si>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SUPERSTRUCTURE — THIRD FLOOR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</si>
  <si>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</si>
  <si>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</si>
  <si>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</si>
  <si>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</si>
  <si>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</si>
  <si>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</si>
  <si>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</si>
  <si>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</si>
  <si>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</si>
  <si>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SUPERSTRUCTURE — FOURTH FLOOR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</si>
  <si>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</si>
  <si>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</si>
  <si>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</si>
  <si>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</si>
  <si>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</si>
  <si>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</si>
  <si>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</si>
  <si>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</si>
  <si>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</si>
  <si>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SUPERSTRUCTURE — TERRACE FLOOR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</si>
  <si>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</si>
  <si>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</si>
  <si>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</si>
  <si>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</si>
  <si>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</si>
  <si>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</si>
  <si>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</si>
  <si>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</si>
  <si>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</si>
  <si>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SUPERSTRUCTURE — MUMTY FLOOR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</si>
  <si>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</si>
  <si>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</si>
  <si>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</si>
  <si>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</si>
  <si>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</si>
  <si>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</si>
  <si>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</si>
  <si>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</si>
  <si>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</si>
  <si>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Baseline logic: each activity is finish-to-start linked to its predecessor. Start = predecessor Finish; Finish = Start + Duration. Edit any Duration (col D) or the Baseline Start (B7) and the whole chain re-sequences.</t>
  </si>
  <si>
    <t>Calendar-day model (no non-working days), reproducing the contractor programme as issued. Curing / striking float and monsoon contingency not embedded — flagged separately.</t>
  </si>
  <si>
    <t>volecule.com  |  info@volecule.com  |  +91-8383893877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</si>
</sst>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0&quot; days&quot;"/>
    <numFmt numFmtId="166" formatCode="dd\-mmm\-yyyy"/>
    <numFmt numFmtId="167" formatCode="dd\-mmm"/>
  </numFmts>
  <fonts count="12" x14ac:knownFonts="1">
    <font>
      <sz val="11"/>
      <color theme="1"/>
      <name val="Calibri"/>
      <family val="2"/>
      <charset val="1"/>
    </font>
    <font>
      <b/>
      <sz val="20"/>
      <color rgb="FF000000"/>
      <name val="Arial"/>
      <charset val="1"/>
    </font>
    <font>
      <i/>
      <sz val="9"/>
      <color rgb="FF808080"/>
      <name val="Arial"/>
      <charset val="1"/>
    </font>
    <font>
      <b/>
      <sz val="8"/>
      <color rgb="FF808080"/>
      <name val="Arial"/>
      <charset val="1"/>
    </font>
    <font>
      <sz val="9"/>
      <color rgb="FF000000"/>
      <name val="Arial"/>
      <charset val="1"/>
    </font>
    <font>
      <b/>
      <sz val="11"/>
      <color rgb="FF000000"/>
      <name val="Arial"/>
      <charset val="1"/>
    </font>
    <font>
      <sz val="8"/>
      <color rgb="FF808080"/>
      <name val="Arial"/>
      <charset val="1"/>
    </font>
    <font>
      <b/>
      <sz val="9"/>
      <color rgb="FF000000"/>
      <name val="Arial"/>
      <charset val="1"/>
    </font>
    <font>
      <b/>
      <sz val="7"/>
      <color rgb="FF000000"/>
      <name val="Arial"/>
      <charset val="1"/>
    </font>
    <font>
      <b/>
      <sz val="9"/>
      <color rgb="FFFFFFFF"/>
      <name val="Arial"/>
      <charset val="1"/>
    </font>
    <font>
      <sz val="6"/>
      <color rgb="FFFFFFFF"/>
      <name val="Arial"/>
      <charset val="1"/>
    </font>
    <font>
      <i/>
      <sz val="8"/>
      <color rgb="FF8080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EEEEE"/>
      </patternFill>
    </fill>
    <fill>
      <patternFill patternType="solid">
        <fgColor rgb="FF000000"/>
        <bgColor rgb="FF0033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EEEEE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6" fontId="7" fillId="2" borderId="0" xfId="0" applyNumberFormat="1" applyFont="1" applyFill="1"/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67" fontId="10" fillId="3" borderId="1" xfId="0" applyNumberFormat="1" applyFont="1" applyFill="1" applyBorder="1" applyAlignment="1">
      <alignment horizontal="center" vertical="center" textRotation="90"/>
    </xf>
    <xf numFmtId="0" fontId="9" fillId="3" borderId="0" xfId="0" applyFont="1" applyFill="1" applyAlignment="1">
      <alignment horizontal="left" vertical="center" indent="1"/>
    </xf>
    <xf numFmtId="0" fontId="0" fillId="3" borderId="0" xfId="0" applyFill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3" borderId="2" xfId="0" applyFill="1" applyBorder="1"/>
    <xf numFmtId="0" fontId="0" fillId="0" borderId="2" xfId="0" applyBorder="1"/>
    <xf numFmtId="0" fontId="1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EE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7"/>
  <sheetViews>
    <sheetView showGridLines="0" tabSelected="1" zoomScaleNormal="10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defaultColWidth="8.6640625" defaultRowHeight="14.4" x14ac:dyDescent="0.3"/>
  <cols>
    <col min="1" max="1" width="7" customWidth="1"/>
    <col min="2" max="2" width="42" customWidth="1"/>
    <col min="3" max="4" width="7" customWidth="1"/>
    <col min="5" max="6" width="11" customWidth="1"/>
    <col min="7" max="59" width="2.5546875" customWidth="1"/>
  </cols>
  <sheetData>
    <row r="1" spans="1:59" ht="24.6" x14ac:dyDescent="0.4">
      <c r="A1" s="2" t="s">
        <v>0</v>
      </c>
    </row>
    <row r="2" spans="1:59" x14ac:dyDescent="0.3">
      <c r="A2" s="3" t="s">
        <v>1</v>
      </c>
    </row>
    <row r="4" spans="1:59" x14ac:dyDescent="0.3">
      <c r="A4" s="4" t="s">
        <v>2</v>
      </c>
      <c r="B4" s="5" t="s">
        <v>3</v>
      </c>
      <c r="F4" s="6" t="s">
        <v>4</v>
      </c>
    </row>
    <row r="5" spans="1:59" x14ac:dyDescent="0.3">
      <c r="A5" s="4" t="s">
        <v>5</v>
      </c>
      <c r="B5" s="5" t="s">
        <v>6</v>
      </c>
      <c r="F5" s="7">
        <f>F102</f>
        <v>46505</v>
      </c>
    </row>
    <row r="6" spans="1:59" x14ac:dyDescent="0.3">
      <c r="A6" s="4" t="s">
        <v>7</v>
      </c>
      <c r="B6" s="5" t="s">
        <v>8</v>
      </c>
      <c r="F6" s="8">
        <f>F102-$B$7</f>
        <v>366</v>
      </c>
    </row>
    <row r="7" spans="1:59" x14ac:dyDescent="0.3">
      <c r="A7" s="4" t="s">
        <v>9</v>
      </c>
      <c r="B7" s="9">
        <v>46139</v>
      </c>
    </row>
    <row r="8" spans="1:59" ht="13.5" customHeight="1" x14ac:dyDescent="0.3">
      <c r="G8" s="10" t="s">
        <v>10</v>
      </c>
      <c r="H8" s="1" t="s">
        <v>11</v>
      </c>
      <c r="I8" s="1"/>
      <c r="J8" s="1"/>
      <c r="K8" s="1"/>
      <c r="L8" s="1" t="s">
        <v>12</v>
      </c>
      <c r="M8" s="1"/>
      <c r="N8" s="1"/>
      <c r="O8" s="1"/>
      <c r="P8" s="1"/>
      <c r="Q8" s="1" t="s">
        <v>13</v>
      </c>
      <c r="R8" s="1"/>
      <c r="S8" s="1"/>
      <c r="T8" s="1"/>
      <c r="U8" s="1" t="s">
        <v>14</v>
      </c>
      <c r="V8" s="1"/>
      <c r="W8" s="1"/>
      <c r="X8" s="1"/>
      <c r="Y8" s="1"/>
      <c r="Z8" s="1" t="s">
        <v>15</v>
      </c>
      <c r="AA8" s="1"/>
      <c r="AB8" s="1"/>
      <c r="AC8" s="1"/>
      <c r="AD8" s="1" t="s">
        <v>16</v>
      </c>
      <c r="AE8" s="1"/>
      <c r="AF8" s="1"/>
      <c r="AG8" s="1"/>
      <c r="AH8" s="1" t="s">
        <v>17</v>
      </c>
      <c r="AI8" s="1"/>
      <c r="AJ8" s="1"/>
      <c r="AK8" s="1"/>
      <c r="AL8" s="1"/>
      <c r="AM8" s="1" t="s">
        <v>18</v>
      </c>
      <c r="AN8" s="1"/>
      <c r="AO8" s="1"/>
      <c r="AP8" s="1"/>
      <c r="AQ8" s="1" t="s">
        <v>19</v>
      </c>
      <c r="AR8" s="1"/>
      <c r="AS8" s="1"/>
      <c r="AT8" s="1"/>
      <c r="AU8" s="1" t="s">
        <v>20</v>
      </c>
      <c r="AV8" s="1"/>
      <c r="AW8" s="1"/>
      <c r="AX8" s="1"/>
      <c r="AY8" s="1" t="s">
        <v>21</v>
      </c>
      <c r="AZ8" s="1"/>
      <c r="BA8" s="1"/>
      <c r="BB8" s="1"/>
      <c r="BC8" s="1"/>
      <c r="BD8" s="1" t="s">
        <v>22</v>
      </c>
      <c r="BE8" s="1"/>
      <c r="BF8" s="1"/>
      <c r="BG8" s="1"/>
    </row>
    <row r="9" spans="1:59" ht="42" customHeight="1" x14ac:dyDescent="0.3">
      <c r="A9" s="11" t="s">
        <v>23</v>
      </c>
      <c r="B9" s="11" t="s">
        <v>24</v>
      </c>
      <c r="C9" s="11" t="s">
        <v>25</v>
      </c>
      <c r="D9" s="11" t="s">
        <v>26</v>
      </c>
      <c r="E9" s="11" t="s">
        <v>27</v>
      </c>
      <c r="F9" s="11" t="s">
        <v>28</v>
      </c>
      <c r="G9" s="12">
        <v>46139</v>
      </c>
      <c r="H9" s="12">
        <v>46146</v>
      </c>
      <c r="I9" s="12">
        <v>46153</v>
      </c>
      <c r="J9" s="12">
        <v>46160</v>
      </c>
      <c r="K9" s="12">
        <v>46167</v>
      </c>
      <c r="L9" s="12">
        <v>46174</v>
      </c>
      <c r="M9" s="12">
        <v>46181</v>
      </c>
      <c r="N9" s="12">
        <v>46188</v>
      </c>
      <c r="O9" s="12">
        <v>46195</v>
      </c>
      <c r="P9" s="12">
        <v>46202</v>
      </c>
      <c r="Q9" s="12">
        <v>46209</v>
      </c>
      <c r="R9" s="12">
        <v>46216</v>
      </c>
      <c r="S9" s="12">
        <v>46223</v>
      </c>
      <c r="T9" s="12">
        <v>46230</v>
      </c>
      <c r="U9" s="12">
        <v>46237</v>
      </c>
      <c r="V9" s="12">
        <v>46244</v>
      </c>
      <c r="W9" s="12">
        <v>46251</v>
      </c>
      <c r="X9" s="12">
        <v>46258</v>
      </c>
      <c r="Y9" s="12">
        <v>46265</v>
      </c>
      <c r="Z9" s="12">
        <v>46272</v>
      </c>
      <c r="AA9" s="12">
        <v>46279</v>
      </c>
      <c r="AB9" s="12">
        <v>46286</v>
      </c>
      <c r="AC9" s="12">
        <v>46293</v>
      </c>
      <c r="AD9" s="12">
        <v>46300</v>
      </c>
      <c r="AE9" s="12">
        <v>46307</v>
      </c>
      <c r="AF9" s="12">
        <v>46314</v>
      </c>
      <c r="AG9" s="12">
        <v>46321</v>
      </c>
      <c r="AH9" s="12">
        <v>46328</v>
      </c>
      <c r="AI9" s="12">
        <v>46335</v>
      </c>
      <c r="AJ9" s="12">
        <v>46342</v>
      </c>
      <c r="AK9" s="12">
        <v>46349</v>
      </c>
      <c r="AL9" s="12">
        <v>46356</v>
      </c>
      <c r="AM9" s="12">
        <v>46363</v>
      </c>
      <c r="AN9" s="12">
        <v>46370</v>
      </c>
      <c r="AO9" s="12">
        <v>46377</v>
      </c>
      <c r="AP9" s="12">
        <v>46384</v>
      </c>
      <c r="AQ9" s="12">
        <v>46391</v>
      </c>
      <c r="AR9" s="12">
        <v>46398</v>
      </c>
      <c r="AS9" s="12">
        <v>46405</v>
      </c>
      <c r="AT9" s="12">
        <v>46412</v>
      </c>
      <c r="AU9" s="12">
        <v>46419</v>
      </c>
      <c r="AV9" s="12">
        <v>46426</v>
      </c>
      <c r="AW9" s="12">
        <v>46433</v>
      </c>
      <c r="AX9" s="12">
        <v>46440</v>
      </c>
      <c r="AY9" s="12">
        <v>46447</v>
      </c>
      <c r="AZ9" s="12">
        <v>46454</v>
      </c>
      <c r="BA9" s="12">
        <v>46461</v>
      </c>
      <c r="BB9" s="12">
        <v>46468</v>
      </c>
      <c r="BC9" s="12">
        <v>46475</v>
      </c>
      <c r="BD9" s="12">
        <v>46482</v>
      </c>
      <c r="BE9" s="12">
        <v>46489</v>
      </c>
      <c r="BF9" s="12">
        <v>46496</v>
      </c>
      <c r="BG9" s="12">
        <v>46503</v>
      </c>
    </row>
    <row r="10" spans="1:59" x14ac:dyDescent="0.3">
      <c r="A10" s="13" t="s">
        <v>29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</row>
    <row r="11" spans="1:59" x14ac:dyDescent="0.3">
      <c r="A11" s="15" t="s">
        <v>30</v>
      </c>
      <c r="B11" s="16" t="s">
        <v>31</v>
      </c>
      <c r="C11" s="17" t="s">
        <v>32</v>
      </c>
      <c r="D11" s="18">
        <v>7</v>
      </c>
      <c r="E11" s="19">
        <f>$B$7</f>
        <v>46139</v>
      </c>
      <c r="F11" s="19">
        <f t="shared" ref="F11:F17" si="0">E11+D11</f>
        <v>46146</v>
      </c>
      <c r="G11" s="20"/>
      <c r="H11" s="20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</row>
    <row r="12" spans="1:59" x14ac:dyDescent="0.3">
      <c r="A12" s="15" t="s">
        <v>33</v>
      </c>
      <c r="B12" s="16" t="s">
        <v>34</v>
      </c>
      <c r="C12" s="17" t="s">
        <v>30</v>
      </c>
      <c r="D12" s="18">
        <v>4</v>
      </c>
      <c r="E12" s="19">
        <f t="shared" ref="E12:E17" si="1">INDEX($F$11:$F$102,MATCH($C12,$A$11:$A$102,0))</f>
        <v>46146</v>
      </c>
      <c r="F12" s="19">
        <f t="shared" si="0"/>
        <v>46150</v>
      </c>
      <c r="G12" s="21"/>
      <c r="H12" s="20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</row>
    <row r="13" spans="1:59" x14ac:dyDescent="0.3">
      <c r="A13" s="15" t="s">
        <v>35</v>
      </c>
      <c r="B13" s="16" t="s">
        <v>36</v>
      </c>
      <c r="C13" s="17" t="s">
        <v>33</v>
      </c>
      <c r="D13" s="18">
        <v>4</v>
      </c>
      <c r="E13" s="19">
        <f t="shared" si="1"/>
        <v>46150</v>
      </c>
      <c r="F13" s="19">
        <f t="shared" si="0"/>
        <v>46154</v>
      </c>
      <c r="G13" s="21"/>
      <c r="H13" s="20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</row>
    <row r="14" spans="1:59" x14ac:dyDescent="0.3">
      <c r="A14" s="15" t="s">
        <v>37</v>
      </c>
      <c r="B14" s="16" t="s">
        <v>38</v>
      </c>
      <c r="C14" s="17" t="s">
        <v>35</v>
      </c>
      <c r="D14" s="18">
        <v>7</v>
      </c>
      <c r="E14" s="19">
        <f t="shared" si="1"/>
        <v>46154</v>
      </c>
      <c r="F14" s="19">
        <f t="shared" si="0"/>
        <v>46161</v>
      </c>
      <c r="G14" s="21"/>
      <c r="H14" s="21"/>
      <c r="I14" s="20"/>
      <c r="J14" s="20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</row>
    <row r="15" spans="1:59" x14ac:dyDescent="0.3">
      <c r="A15" s="15" t="s">
        <v>39</v>
      </c>
      <c r="B15" s="16" t="s">
        <v>40</v>
      </c>
      <c r="C15" s="17" t="s">
        <v>37</v>
      </c>
      <c r="D15" s="18">
        <v>7</v>
      </c>
      <c r="E15" s="19">
        <f t="shared" si="1"/>
        <v>46161</v>
      </c>
      <c r="F15" s="19">
        <f t="shared" si="0"/>
        <v>46168</v>
      </c>
      <c r="G15" s="21"/>
      <c r="H15" s="21"/>
      <c r="I15" s="21"/>
      <c r="J15" s="20"/>
      <c r="K15" s="20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</row>
    <row r="16" spans="1:59" x14ac:dyDescent="0.3">
      <c r="A16" s="15" t="s">
        <v>41</v>
      </c>
      <c r="B16" s="16" t="s">
        <v>42</v>
      </c>
      <c r="C16" s="17" t="s">
        <v>39</v>
      </c>
      <c r="D16" s="18">
        <v>1</v>
      </c>
      <c r="E16" s="19">
        <f t="shared" si="1"/>
        <v>46168</v>
      </c>
      <c r="F16" s="19">
        <f t="shared" si="0"/>
        <v>46169</v>
      </c>
      <c r="G16" s="21"/>
      <c r="H16" s="21"/>
      <c r="I16" s="21"/>
      <c r="J16" s="21"/>
      <c r="K16" s="20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</row>
    <row r="17" spans="1:59" x14ac:dyDescent="0.3">
      <c r="A17" s="15" t="s">
        <v>43</v>
      </c>
      <c r="B17" s="16" t="s">
        <v>44</v>
      </c>
      <c r="C17" s="17" t="s">
        <v>41</v>
      </c>
      <c r="D17" s="18">
        <v>1</v>
      </c>
      <c r="E17" s="19">
        <f t="shared" si="1"/>
        <v>46169</v>
      </c>
      <c r="F17" s="19">
        <f t="shared" si="0"/>
        <v>46170</v>
      </c>
      <c r="G17" s="21"/>
      <c r="H17" s="21"/>
      <c r="I17" s="21"/>
      <c r="J17" s="21"/>
      <c r="K17" s="20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</row>
    <row r="18" spans="1:59" x14ac:dyDescent="0.3">
      <c r="A18" s="13" t="s">
        <v>45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</row>
    <row r="19" spans="1:59" x14ac:dyDescent="0.3">
      <c r="A19" s="15" t="s">
        <v>46</v>
      </c>
      <c r="B19" s="16" t="s">
        <v>47</v>
      </c>
      <c r="C19" s="17" t="s">
        <v>43</v>
      </c>
      <c r="D19" s="18">
        <v>2</v>
      </c>
      <c r="E19" s="19">
        <f t="shared" ref="E19:E32" si="2">INDEX($F$11:$F$102,MATCH($C19,$A$11:$A$102,0))</f>
        <v>46170</v>
      </c>
      <c r="F19" s="19">
        <f t="shared" ref="F19:F32" si="3">E19+D19</f>
        <v>46172</v>
      </c>
      <c r="G19" s="21"/>
      <c r="H19" s="21"/>
      <c r="I19" s="21"/>
      <c r="J19" s="21"/>
      <c r="K19" s="20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</row>
    <row r="20" spans="1:59" x14ac:dyDescent="0.3">
      <c r="A20" s="15" t="s">
        <v>48</v>
      </c>
      <c r="B20" s="16" t="s">
        <v>49</v>
      </c>
      <c r="C20" s="17" t="s">
        <v>46</v>
      </c>
      <c r="D20" s="18">
        <v>4</v>
      </c>
      <c r="E20" s="19">
        <f t="shared" si="2"/>
        <v>46172</v>
      </c>
      <c r="F20" s="19">
        <f t="shared" si="3"/>
        <v>46176</v>
      </c>
      <c r="G20" s="21"/>
      <c r="H20" s="21"/>
      <c r="I20" s="21"/>
      <c r="J20" s="21"/>
      <c r="K20" s="20"/>
      <c r="L20" s="20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</row>
    <row r="21" spans="1:59" x14ac:dyDescent="0.3">
      <c r="A21" s="15" t="s">
        <v>50</v>
      </c>
      <c r="B21" s="16" t="s">
        <v>51</v>
      </c>
      <c r="C21" s="17" t="s">
        <v>48</v>
      </c>
      <c r="D21" s="18">
        <v>2</v>
      </c>
      <c r="E21" s="19">
        <f t="shared" si="2"/>
        <v>46176</v>
      </c>
      <c r="F21" s="19">
        <f t="shared" si="3"/>
        <v>46178</v>
      </c>
      <c r="G21" s="21"/>
      <c r="H21" s="21"/>
      <c r="I21" s="21"/>
      <c r="J21" s="21"/>
      <c r="K21" s="21"/>
      <c r="L21" s="20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</row>
    <row r="22" spans="1:59" x14ac:dyDescent="0.3">
      <c r="A22" s="15" t="s">
        <v>52</v>
      </c>
      <c r="B22" s="16" t="s">
        <v>53</v>
      </c>
      <c r="C22" s="17" t="s">
        <v>50</v>
      </c>
      <c r="D22" s="18">
        <v>4</v>
      </c>
      <c r="E22" s="19">
        <f t="shared" si="2"/>
        <v>46178</v>
      </c>
      <c r="F22" s="19">
        <f t="shared" si="3"/>
        <v>46182</v>
      </c>
      <c r="G22" s="21"/>
      <c r="H22" s="21"/>
      <c r="I22" s="21"/>
      <c r="J22" s="21"/>
      <c r="K22" s="21"/>
      <c r="L22" s="20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</row>
    <row r="23" spans="1:59" x14ac:dyDescent="0.3">
      <c r="A23" s="15" t="s">
        <v>54</v>
      </c>
      <c r="B23" s="16" t="s">
        <v>55</v>
      </c>
      <c r="C23" s="17" t="s">
        <v>52</v>
      </c>
      <c r="D23" s="18">
        <v>4</v>
      </c>
      <c r="E23" s="19">
        <f t="shared" si="2"/>
        <v>46182</v>
      </c>
      <c r="F23" s="19">
        <f t="shared" si="3"/>
        <v>46186</v>
      </c>
      <c r="G23" s="21"/>
      <c r="H23" s="21"/>
      <c r="I23" s="21"/>
      <c r="J23" s="21"/>
      <c r="K23" s="21"/>
      <c r="L23" s="21"/>
      <c r="M23" s="20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</row>
    <row r="24" spans="1:59" x14ac:dyDescent="0.3">
      <c r="A24" s="15" t="s">
        <v>56</v>
      </c>
      <c r="B24" s="16" t="s">
        <v>57</v>
      </c>
      <c r="C24" s="17" t="s">
        <v>54</v>
      </c>
      <c r="D24" s="18">
        <v>6</v>
      </c>
      <c r="E24" s="19">
        <f t="shared" si="2"/>
        <v>46186</v>
      </c>
      <c r="F24" s="19">
        <f t="shared" si="3"/>
        <v>46192</v>
      </c>
      <c r="G24" s="21"/>
      <c r="H24" s="21"/>
      <c r="I24" s="21"/>
      <c r="J24" s="21"/>
      <c r="K24" s="21"/>
      <c r="L24" s="21"/>
      <c r="M24" s="20"/>
      <c r="N24" s="20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</row>
    <row r="25" spans="1:59" x14ac:dyDescent="0.3">
      <c r="A25" s="15" t="s">
        <v>58</v>
      </c>
      <c r="B25" s="16" t="s">
        <v>59</v>
      </c>
      <c r="C25" s="17" t="s">
        <v>56</v>
      </c>
      <c r="D25" s="18">
        <v>7</v>
      </c>
      <c r="E25" s="19">
        <f t="shared" si="2"/>
        <v>46192</v>
      </c>
      <c r="F25" s="19">
        <f t="shared" si="3"/>
        <v>46199</v>
      </c>
      <c r="G25" s="21"/>
      <c r="H25" s="21"/>
      <c r="I25" s="21"/>
      <c r="J25" s="21"/>
      <c r="K25" s="21"/>
      <c r="L25" s="21"/>
      <c r="M25" s="21"/>
      <c r="N25" s="20"/>
      <c r="O25" s="20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</row>
    <row r="26" spans="1:59" x14ac:dyDescent="0.3">
      <c r="A26" s="15" t="s">
        <v>60</v>
      </c>
      <c r="B26" s="16" t="s">
        <v>61</v>
      </c>
      <c r="C26" s="17" t="s">
        <v>58</v>
      </c>
      <c r="D26" s="18">
        <v>5</v>
      </c>
      <c r="E26" s="19">
        <f t="shared" si="2"/>
        <v>46199</v>
      </c>
      <c r="F26" s="19">
        <f t="shared" si="3"/>
        <v>46204</v>
      </c>
      <c r="G26" s="21"/>
      <c r="H26" s="21"/>
      <c r="I26" s="21"/>
      <c r="J26" s="21"/>
      <c r="K26" s="21"/>
      <c r="L26" s="21"/>
      <c r="M26" s="21"/>
      <c r="N26" s="21"/>
      <c r="O26" s="20"/>
      <c r="P26" s="20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</row>
    <row r="27" spans="1:59" x14ac:dyDescent="0.3">
      <c r="A27" s="15" t="s">
        <v>62</v>
      </c>
      <c r="B27" s="16" t="s">
        <v>42</v>
      </c>
      <c r="C27" s="17" t="s">
        <v>60</v>
      </c>
      <c r="D27" s="18">
        <v>1</v>
      </c>
      <c r="E27" s="19">
        <f t="shared" si="2"/>
        <v>46204</v>
      </c>
      <c r="F27" s="19">
        <f t="shared" si="3"/>
        <v>46205</v>
      </c>
      <c r="G27" s="21"/>
      <c r="H27" s="21"/>
      <c r="I27" s="21"/>
      <c r="J27" s="21"/>
      <c r="K27" s="21"/>
      <c r="L27" s="21"/>
      <c r="M27" s="21"/>
      <c r="N27" s="21"/>
      <c r="O27" s="21"/>
      <c r="P27" s="20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</row>
    <row r="28" spans="1:59" x14ac:dyDescent="0.3">
      <c r="A28" s="15" t="s">
        <v>63</v>
      </c>
      <c r="B28" s="16" t="s">
        <v>64</v>
      </c>
      <c r="C28" s="17" t="s">
        <v>62</v>
      </c>
      <c r="D28" s="18">
        <v>2</v>
      </c>
      <c r="E28" s="19">
        <f t="shared" si="2"/>
        <v>46205</v>
      </c>
      <c r="F28" s="19">
        <f t="shared" si="3"/>
        <v>46207</v>
      </c>
      <c r="G28" s="21"/>
      <c r="H28" s="21"/>
      <c r="I28" s="21"/>
      <c r="J28" s="21"/>
      <c r="K28" s="21"/>
      <c r="L28" s="21"/>
      <c r="M28" s="21"/>
      <c r="N28" s="21"/>
      <c r="O28" s="21"/>
      <c r="P28" s="20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</row>
    <row r="29" spans="1:59" x14ac:dyDescent="0.3">
      <c r="A29" s="15" t="s">
        <v>65</v>
      </c>
      <c r="B29" s="16" t="s">
        <v>66</v>
      </c>
      <c r="C29" s="17" t="s">
        <v>63</v>
      </c>
      <c r="D29" s="18">
        <v>1</v>
      </c>
      <c r="E29" s="19">
        <f t="shared" si="2"/>
        <v>46207</v>
      </c>
      <c r="F29" s="19">
        <f t="shared" si="3"/>
        <v>46208</v>
      </c>
      <c r="G29" s="21"/>
      <c r="H29" s="21"/>
      <c r="I29" s="21"/>
      <c r="J29" s="21"/>
      <c r="K29" s="21"/>
      <c r="L29" s="21"/>
      <c r="M29" s="21"/>
      <c r="N29" s="21"/>
      <c r="O29" s="21"/>
      <c r="P29" s="20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</row>
    <row r="30" spans="1:59" x14ac:dyDescent="0.3">
      <c r="A30" s="15" t="s">
        <v>67</v>
      </c>
      <c r="B30" s="16" t="s">
        <v>68</v>
      </c>
      <c r="C30" s="17" t="s">
        <v>65</v>
      </c>
      <c r="D30" s="18">
        <v>4</v>
      </c>
      <c r="E30" s="19">
        <f t="shared" si="2"/>
        <v>46208</v>
      </c>
      <c r="F30" s="19">
        <f t="shared" si="3"/>
        <v>46212</v>
      </c>
      <c r="G30" s="21"/>
      <c r="H30" s="21"/>
      <c r="I30" s="21"/>
      <c r="J30" s="21"/>
      <c r="K30" s="21"/>
      <c r="L30" s="21"/>
      <c r="M30" s="21"/>
      <c r="N30" s="21"/>
      <c r="O30" s="21"/>
      <c r="P30" s="20"/>
      <c r="Q30" s="20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</row>
    <row r="31" spans="1:59" x14ac:dyDescent="0.3">
      <c r="A31" s="15" t="s">
        <v>69</v>
      </c>
      <c r="B31" s="16" t="s">
        <v>70</v>
      </c>
      <c r="C31" s="17" t="s">
        <v>67</v>
      </c>
      <c r="D31" s="18">
        <v>6</v>
      </c>
      <c r="E31" s="19">
        <f t="shared" si="2"/>
        <v>46212</v>
      </c>
      <c r="F31" s="19">
        <f t="shared" si="3"/>
        <v>46218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0"/>
      <c r="R31" s="20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</row>
    <row r="32" spans="1:59" x14ac:dyDescent="0.3">
      <c r="A32" s="15" t="s">
        <v>71</v>
      </c>
      <c r="B32" s="16" t="s">
        <v>72</v>
      </c>
      <c r="C32" s="17" t="s">
        <v>69</v>
      </c>
      <c r="D32" s="18">
        <v>2</v>
      </c>
      <c r="E32" s="19">
        <f t="shared" si="2"/>
        <v>46218</v>
      </c>
      <c r="F32" s="19">
        <f t="shared" si="3"/>
        <v>46220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0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</row>
    <row r="33" spans="1:59" x14ac:dyDescent="0.3">
      <c r="A33" s="13" t="s">
        <v>73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</row>
    <row r="34" spans="1:59" x14ac:dyDescent="0.3">
      <c r="A34" s="15" t="s">
        <v>74</v>
      </c>
      <c r="B34" s="16" t="s">
        <v>75</v>
      </c>
      <c r="C34" s="17" t="s">
        <v>71</v>
      </c>
      <c r="D34" s="18">
        <v>2</v>
      </c>
      <c r="E34" s="19">
        <f t="shared" ref="E34:E42" si="4">INDEX($F$11:$F$102,MATCH($C34,$A$11:$A$102,0))</f>
        <v>46220</v>
      </c>
      <c r="F34" s="19">
        <f t="shared" ref="F34:F42" si="5">E34+D34</f>
        <v>46222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0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</row>
    <row r="35" spans="1:59" x14ac:dyDescent="0.3">
      <c r="A35" s="15" t="s">
        <v>76</v>
      </c>
      <c r="B35" s="16" t="s">
        <v>77</v>
      </c>
      <c r="C35" s="17" t="s">
        <v>74</v>
      </c>
      <c r="D35" s="18">
        <v>4</v>
      </c>
      <c r="E35" s="19">
        <f t="shared" si="4"/>
        <v>46222</v>
      </c>
      <c r="F35" s="19">
        <f t="shared" si="5"/>
        <v>46226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0"/>
      <c r="S35" s="20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</row>
    <row r="36" spans="1:59" x14ac:dyDescent="0.3">
      <c r="A36" s="15" t="s">
        <v>78</v>
      </c>
      <c r="B36" s="16" t="s">
        <v>79</v>
      </c>
      <c r="C36" s="17" t="s">
        <v>76</v>
      </c>
      <c r="D36" s="18">
        <v>5</v>
      </c>
      <c r="E36" s="19">
        <f t="shared" si="4"/>
        <v>46226</v>
      </c>
      <c r="F36" s="19">
        <f t="shared" si="5"/>
        <v>46231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0"/>
      <c r="T36" s="20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</row>
    <row r="37" spans="1:59" x14ac:dyDescent="0.3">
      <c r="A37" s="15" t="s">
        <v>80</v>
      </c>
      <c r="B37" s="16" t="s">
        <v>81</v>
      </c>
      <c r="C37" s="17" t="s">
        <v>78</v>
      </c>
      <c r="D37" s="18">
        <v>3</v>
      </c>
      <c r="E37" s="19">
        <f t="shared" si="4"/>
        <v>46231</v>
      </c>
      <c r="F37" s="19">
        <f t="shared" si="5"/>
        <v>46234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0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</row>
    <row r="38" spans="1:59" x14ac:dyDescent="0.3">
      <c r="A38" s="15" t="s">
        <v>82</v>
      </c>
      <c r="B38" s="16" t="s">
        <v>83</v>
      </c>
      <c r="C38" s="17" t="s">
        <v>80</v>
      </c>
      <c r="D38" s="18">
        <v>15</v>
      </c>
      <c r="E38" s="19">
        <f t="shared" si="4"/>
        <v>46234</v>
      </c>
      <c r="F38" s="19">
        <f t="shared" si="5"/>
        <v>46249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0"/>
      <c r="U38" s="20"/>
      <c r="V38" s="20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</row>
    <row r="39" spans="1:59" x14ac:dyDescent="0.3">
      <c r="A39" s="15" t="s">
        <v>84</v>
      </c>
      <c r="B39" s="16" t="s">
        <v>85</v>
      </c>
      <c r="C39" s="17" t="s">
        <v>82</v>
      </c>
      <c r="D39" s="18">
        <v>10</v>
      </c>
      <c r="E39" s="19">
        <f t="shared" si="4"/>
        <v>46249</v>
      </c>
      <c r="F39" s="19">
        <f t="shared" si="5"/>
        <v>46259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0"/>
      <c r="W39" s="20"/>
      <c r="X39" s="20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</row>
    <row r="40" spans="1:59" x14ac:dyDescent="0.3">
      <c r="A40" s="15" t="s">
        <v>86</v>
      </c>
      <c r="B40" s="16" t="s">
        <v>87</v>
      </c>
      <c r="C40" s="17" t="s">
        <v>84</v>
      </c>
      <c r="D40" s="18">
        <v>2</v>
      </c>
      <c r="E40" s="19">
        <f t="shared" si="4"/>
        <v>46259</v>
      </c>
      <c r="F40" s="19">
        <f t="shared" si="5"/>
        <v>46261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0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</row>
    <row r="41" spans="1:59" x14ac:dyDescent="0.3">
      <c r="A41" s="15" t="s">
        <v>88</v>
      </c>
      <c r="B41" s="16" t="s">
        <v>42</v>
      </c>
      <c r="C41" s="17" t="s">
        <v>86</v>
      </c>
      <c r="D41" s="18">
        <v>1</v>
      </c>
      <c r="E41" s="19">
        <f t="shared" si="4"/>
        <v>46261</v>
      </c>
      <c r="F41" s="19">
        <f t="shared" si="5"/>
        <v>46262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0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</row>
    <row r="42" spans="1:59" x14ac:dyDescent="0.3">
      <c r="A42" s="15" t="s">
        <v>89</v>
      </c>
      <c r="B42" s="16" t="s">
        <v>90</v>
      </c>
      <c r="C42" s="17" t="s">
        <v>88</v>
      </c>
      <c r="D42" s="18">
        <v>1</v>
      </c>
      <c r="E42" s="19">
        <f t="shared" si="4"/>
        <v>46262</v>
      </c>
      <c r="F42" s="19">
        <f t="shared" si="5"/>
        <v>46263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0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</row>
    <row r="43" spans="1:59" x14ac:dyDescent="0.3">
      <c r="A43" s="13" t="s">
        <v>91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</row>
    <row r="44" spans="1:59" x14ac:dyDescent="0.3">
      <c r="A44" s="15" t="s">
        <v>92</v>
      </c>
      <c r="B44" s="16" t="s">
        <v>75</v>
      </c>
      <c r="C44" s="17" t="s">
        <v>89</v>
      </c>
      <c r="D44" s="18">
        <v>2</v>
      </c>
      <c r="E44" s="19">
        <f t="shared" ref="E44:E52" si="6">INDEX($F$11:$F$102,MATCH($C44,$A$11:$A$102,0))</f>
        <v>46263</v>
      </c>
      <c r="F44" s="19">
        <f t="shared" ref="F44:F52" si="7">E44+D44</f>
        <v>46265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0"/>
      <c r="Y44" s="20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</row>
    <row r="45" spans="1:59" x14ac:dyDescent="0.3">
      <c r="A45" s="15" t="s">
        <v>93</v>
      </c>
      <c r="B45" s="16" t="s">
        <v>77</v>
      </c>
      <c r="C45" s="17" t="s">
        <v>92</v>
      </c>
      <c r="D45" s="18">
        <v>4</v>
      </c>
      <c r="E45" s="19">
        <f t="shared" si="6"/>
        <v>46265</v>
      </c>
      <c r="F45" s="19">
        <f t="shared" si="7"/>
        <v>46269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0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</row>
    <row r="46" spans="1:59" x14ac:dyDescent="0.3">
      <c r="A46" s="15" t="s">
        <v>94</v>
      </c>
      <c r="B46" s="16" t="s">
        <v>79</v>
      </c>
      <c r="C46" s="17" t="s">
        <v>93</v>
      </c>
      <c r="D46" s="18">
        <v>5</v>
      </c>
      <c r="E46" s="19">
        <f t="shared" si="6"/>
        <v>46269</v>
      </c>
      <c r="F46" s="19">
        <f t="shared" si="7"/>
        <v>46274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0"/>
      <c r="Z46" s="20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</row>
    <row r="47" spans="1:59" x14ac:dyDescent="0.3">
      <c r="A47" s="15" t="s">
        <v>95</v>
      </c>
      <c r="B47" s="16" t="s">
        <v>81</v>
      </c>
      <c r="C47" s="17" t="s">
        <v>94</v>
      </c>
      <c r="D47" s="18">
        <v>3</v>
      </c>
      <c r="E47" s="19">
        <f t="shared" si="6"/>
        <v>46274</v>
      </c>
      <c r="F47" s="19">
        <f t="shared" si="7"/>
        <v>46277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0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</row>
    <row r="48" spans="1:59" x14ac:dyDescent="0.3">
      <c r="A48" s="15" t="s">
        <v>96</v>
      </c>
      <c r="B48" s="16" t="s">
        <v>83</v>
      </c>
      <c r="C48" s="17" t="s">
        <v>95</v>
      </c>
      <c r="D48" s="18">
        <v>15</v>
      </c>
      <c r="E48" s="19">
        <f t="shared" si="6"/>
        <v>46277</v>
      </c>
      <c r="F48" s="19">
        <f t="shared" si="7"/>
        <v>46292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0"/>
      <c r="AA48" s="20"/>
      <c r="AB48" s="20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</row>
    <row r="49" spans="1:59" x14ac:dyDescent="0.3">
      <c r="A49" s="15" t="s">
        <v>97</v>
      </c>
      <c r="B49" s="16" t="s">
        <v>85</v>
      </c>
      <c r="C49" s="17" t="s">
        <v>96</v>
      </c>
      <c r="D49" s="18">
        <v>10</v>
      </c>
      <c r="E49" s="19">
        <f t="shared" si="6"/>
        <v>46292</v>
      </c>
      <c r="F49" s="19">
        <f t="shared" si="7"/>
        <v>46302</v>
      </c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0"/>
      <c r="AC49" s="20"/>
      <c r="AD49" s="20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</row>
    <row r="50" spans="1:59" x14ac:dyDescent="0.3">
      <c r="A50" s="15" t="s">
        <v>98</v>
      </c>
      <c r="B50" s="16" t="s">
        <v>87</v>
      </c>
      <c r="C50" s="17" t="s">
        <v>97</v>
      </c>
      <c r="D50" s="18">
        <v>2</v>
      </c>
      <c r="E50" s="19">
        <f t="shared" si="6"/>
        <v>46302</v>
      </c>
      <c r="F50" s="19">
        <f t="shared" si="7"/>
        <v>46304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0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</row>
    <row r="51" spans="1:59" x14ac:dyDescent="0.3">
      <c r="A51" s="15" t="s">
        <v>99</v>
      </c>
      <c r="B51" s="16" t="s">
        <v>42</v>
      </c>
      <c r="C51" s="17" t="s">
        <v>98</v>
      </c>
      <c r="D51" s="18">
        <v>1</v>
      </c>
      <c r="E51" s="19">
        <f t="shared" si="6"/>
        <v>46304</v>
      </c>
      <c r="F51" s="19">
        <f t="shared" si="7"/>
        <v>46305</v>
      </c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0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</row>
    <row r="52" spans="1:59" x14ac:dyDescent="0.3">
      <c r="A52" s="15" t="s">
        <v>100</v>
      </c>
      <c r="B52" s="16" t="s">
        <v>90</v>
      </c>
      <c r="C52" s="17" t="s">
        <v>99</v>
      </c>
      <c r="D52" s="18">
        <v>1</v>
      </c>
      <c r="E52" s="19">
        <f t="shared" si="6"/>
        <v>46305</v>
      </c>
      <c r="F52" s="19">
        <f t="shared" si="7"/>
        <v>46306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0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</row>
    <row r="53" spans="1:59" x14ac:dyDescent="0.3">
      <c r="A53" s="13" t="s">
        <v>101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</row>
    <row r="54" spans="1:59" x14ac:dyDescent="0.3">
      <c r="A54" s="15" t="s">
        <v>102</v>
      </c>
      <c r="B54" s="16" t="s">
        <v>75</v>
      </c>
      <c r="C54" s="17" t="s">
        <v>100</v>
      </c>
      <c r="D54" s="18">
        <v>2</v>
      </c>
      <c r="E54" s="19">
        <f t="shared" ref="E54:E62" si="8">INDEX($F$11:$F$102,MATCH($C54,$A$11:$A$102,0))</f>
        <v>46306</v>
      </c>
      <c r="F54" s="19">
        <f t="shared" ref="F54:F62" si="9">E54+D54</f>
        <v>46308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0"/>
      <c r="AE54" s="20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</row>
    <row r="55" spans="1:59" x14ac:dyDescent="0.3">
      <c r="A55" s="15" t="s">
        <v>103</v>
      </c>
      <c r="B55" s="16" t="s">
        <v>77</v>
      </c>
      <c r="C55" s="17" t="s">
        <v>102</v>
      </c>
      <c r="D55" s="18">
        <v>4</v>
      </c>
      <c r="E55" s="19">
        <f t="shared" si="8"/>
        <v>46308</v>
      </c>
      <c r="F55" s="19">
        <f t="shared" si="9"/>
        <v>46312</v>
      </c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0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</row>
    <row r="56" spans="1:59" x14ac:dyDescent="0.3">
      <c r="A56" s="15" t="s">
        <v>104</v>
      </c>
      <c r="B56" s="16" t="s">
        <v>79</v>
      </c>
      <c r="C56" s="17" t="s">
        <v>103</v>
      </c>
      <c r="D56" s="18">
        <v>3</v>
      </c>
      <c r="E56" s="19">
        <f t="shared" si="8"/>
        <v>46312</v>
      </c>
      <c r="F56" s="19">
        <f t="shared" si="9"/>
        <v>46315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0"/>
      <c r="AF56" s="20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</row>
    <row r="57" spans="1:59" x14ac:dyDescent="0.3">
      <c r="A57" s="15" t="s">
        <v>105</v>
      </c>
      <c r="B57" s="16" t="s">
        <v>81</v>
      </c>
      <c r="C57" s="17" t="s">
        <v>104</v>
      </c>
      <c r="D57" s="18">
        <v>4</v>
      </c>
      <c r="E57" s="19">
        <f t="shared" si="8"/>
        <v>46315</v>
      </c>
      <c r="F57" s="19">
        <f t="shared" si="9"/>
        <v>46319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0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</row>
    <row r="58" spans="1:59" x14ac:dyDescent="0.3">
      <c r="A58" s="15" t="s">
        <v>106</v>
      </c>
      <c r="B58" s="16" t="s">
        <v>83</v>
      </c>
      <c r="C58" s="17" t="s">
        <v>105</v>
      </c>
      <c r="D58" s="18">
        <v>15</v>
      </c>
      <c r="E58" s="19">
        <f t="shared" si="8"/>
        <v>46319</v>
      </c>
      <c r="F58" s="19">
        <f t="shared" si="9"/>
        <v>46334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0"/>
      <c r="AG58" s="20"/>
      <c r="AH58" s="20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</row>
    <row r="59" spans="1:59" x14ac:dyDescent="0.3">
      <c r="A59" s="15" t="s">
        <v>107</v>
      </c>
      <c r="B59" s="16" t="s">
        <v>85</v>
      </c>
      <c r="C59" s="17" t="s">
        <v>106</v>
      </c>
      <c r="D59" s="18">
        <v>10</v>
      </c>
      <c r="E59" s="19">
        <f t="shared" si="8"/>
        <v>46334</v>
      </c>
      <c r="F59" s="19">
        <f t="shared" si="9"/>
        <v>46344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0"/>
      <c r="AI59" s="20"/>
      <c r="AJ59" s="20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</row>
    <row r="60" spans="1:59" x14ac:dyDescent="0.3">
      <c r="A60" s="15" t="s">
        <v>108</v>
      </c>
      <c r="B60" s="16" t="s">
        <v>87</v>
      </c>
      <c r="C60" s="17" t="s">
        <v>107</v>
      </c>
      <c r="D60" s="18">
        <v>2</v>
      </c>
      <c r="E60" s="19">
        <f t="shared" si="8"/>
        <v>46344</v>
      </c>
      <c r="F60" s="19">
        <f t="shared" si="9"/>
        <v>46346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0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</row>
    <row r="61" spans="1:59" x14ac:dyDescent="0.3">
      <c r="A61" s="15" t="s">
        <v>109</v>
      </c>
      <c r="B61" s="16" t="s">
        <v>42</v>
      </c>
      <c r="C61" s="17" t="s">
        <v>108</v>
      </c>
      <c r="D61" s="18">
        <v>1</v>
      </c>
      <c r="E61" s="19">
        <f t="shared" si="8"/>
        <v>46346</v>
      </c>
      <c r="F61" s="19">
        <f t="shared" si="9"/>
        <v>46347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0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</row>
    <row r="62" spans="1:59" x14ac:dyDescent="0.3">
      <c r="A62" s="15" t="s">
        <v>110</v>
      </c>
      <c r="B62" s="16" t="s">
        <v>90</v>
      </c>
      <c r="C62" s="17" t="s">
        <v>109</v>
      </c>
      <c r="D62" s="18">
        <v>1</v>
      </c>
      <c r="E62" s="19">
        <f t="shared" si="8"/>
        <v>46347</v>
      </c>
      <c r="F62" s="19">
        <f t="shared" si="9"/>
        <v>46348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0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</row>
    <row r="63" spans="1:59" x14ac:dyDescent="0.3">
      <c r="A63" s="13" t="s">
        <v>111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</row>
    <row r="64" spans="1:59" x14ac:dyDescent="0.3">
      <c r="A64" s="15" t="s">
        <v>112</v>
      </c>
      <c r="B64" s="16" t="s">
        <v>75</v>
      </c>
      <c r="C64" s="17" t="s">
        <v>110</v>
      </c>
      <c r="D64" s="18">
        <v>2</v>
      </c>
      <c r="E64" s="19">
        <f t="shared" ref="E64:E72" si="10">INDEX($F$11:$F$102,MATCH($C64,$A$11:$A$102,0))</f>
        <v>46348</v>
      </c>
      <c r="F64" s="19">
        <f t="shared" ref="F64:F72" si="11">E64+D64</f>
        <v>46350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0"/>
      <c r="AK64" s="20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</row>
    <row r="65" spans="1:59" x14ac:dyDescent="0.3">
      <c r="A65" s="15" t="s">
        <v>113</v>
      </c>
      <c r="B65" s="16" t="s">
        <v>77</v>
      </c>
      <c r="C65" s="17" t="s">
        <v>112</v>
      </c>
      <c r="D65" s="18">
        <v>4</v>
      </c>
      <c r="E65" s="19">
        <f t="shared" si="10"/>
        <v>46350</v>
      </c>
      <c r="F65" s="19">
        <f t="shared" si="11"/>
        <v>46354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0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</row>
    <row r="66" spans="1:59" x14ac:dyDescent="0.3">
      <c r="A66" s="15" t="s">
        <v>114</v>
      </c>
      <c r="B66" s="16" t="s">
        <v>79</v>
      </c>
      <c r="C66" s="17" t="s">
        <v>113</v>
      </c>
      <c r="D66" s="18">
        <v>3</v>
      </c>
      <c r="E66" s="19">
        <f t="shared" si="10"/>
        <v>46354</v>
      </c>
      <c r="F66" s="19">
        <f t="shared" si="11"/>
        <v>46357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0"/>
      <c r="AL66" s="20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</row>
    <row r="67" spans="1:59" x14ac:dyDescent="0.3">
      <c r="A67" s="15" t="s">
        <v>115</v>
      </c>
      <c r="B67" s="16" t="s">
        <v>81</v>
      </c>
      <c r="C67" s="17" t="s">
        <v>114</v>
      </c>
      <c r="D67" s="18">
        <v>4</v>
      </c>
      <c r="E67" s="19">
        <f t="shared" si="10"/>
        <v>46357</v>
      </c>
      <c r="F67" s="19">
        <f t="shared" si="11"/>
        <v>46361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0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</row>
    <row r="68" spans="1:59" x14ac:dyDescent="0.3">
      <c r="A68" s="15" t="s">
        <v>116</v>
      </c>
      <c r="B68" s="16" t="s">
        <v>83</v>
      </c>
      <c r="C68" s="17" t="s">
        <v>115</v>
      </c>
      <c r="D68" s="18">
        <v>15</v>
      </c>
      <c r="E68" s="19">
        <f t="shared" si="10"/>
        <v>46361</v>
      </c>
      <c r="F68" s="19">
        <f t="shared" si="11"/>
        <v>46376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0"/>
      <c r="AM68" s="20"/>
      <c r="AN68" s="20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</row>
    <row r="69" spans="1:59" x14ac:dyDescent="0.3">
      <c r="A69" s="15" t="s">
        <v>117</v>
      </c>
      <c r="B69" s="16" t="s">
        <v>85</v>
      </c>
      <c r="C69" s="17" t="s">
        <v>116</v>
      </c>
      <c r="D69" s="18">
        <v>10</v>
      </c>
      <c r="E69" s="19">
        <f t="shared" si="10"/>
        <v>46376</v>
      </c>
      <c r="F69" s="19">
        <f t="shared" si="11"/>
        <v>46386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0"/>
      <c r="AO69" s="20"/>
      <c r="AP69" s="20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</row>
    <row r="70" spans="1:59" x14ac:dyDescent="0.3">
      <c r="A70" s="15" t="s">
        <v>118</v>
      </c>
      <c r="B70" s="16" t="s">
        <v>87</v>
      </c>
      <c r="C70" s="17" t="s">
        <v>117</v>
      </c>
      <c r="D70" s="18">
        <v>2</v>
      </c>
      <c r="E70" s="19">
        <f t="shared" si="10"/>
        <v>46386</v>
      </c>
      <c r="F70" s="19">
        <f t="shared" si="11"/>
        <v>46388</v>
      </c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0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</row>
    <row r="71" spans="1:59" x14ac:dyDescent="0.3">
      <c r="A71" s="15" t="s">
        <v>119</v>
      </c>
      <c r="B71" s="16" t="s">
        <v>42</v>
      </c>
      <c r="C71" s="17" t="s">
        <v>118</v>
      </c>
      <c r="D71" s="18">
        <v>1</v>
      </c>
      <c r="E71" s="19">
        <f t="shared" si="10"/>
        <v>46388</v>
      </c>
      <c r="F71" s="19">
        <f t="shared" si="11"/>
        <v>46389</v>
      </c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0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</row>
    <row r="72" spans="1:59" x14ac:dyDescent="0.3">
      <c r="A72" s="15" t="s">
        <v>120</v>
      </c>
      <c r="B72" s="16" t="s">
        <v>90</v>
      </c>
      <c r="C72" s="17" t="s">
        <v>119</v>
      </c>
      <c r="D72" s="18">
        <v>1</v>
      </c>
      <c r="E72" s="19">
        <f t="shared" si="10"/>
        <v>46389</v>
      </c>
      <c r="F72" s="19">
        <f t="shared" si="11"/>
        <v>46390</v>
      </c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0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</row>
    <row r="73" spans="1:59" x14ac:dyDescent="0.3">
      <c r="A73" s="13" t="s">
        <v>121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</row>
    <row r="74" spans="1:59" x14ac:dyDescent="0.3">
      <c r="A74" s="15" t="s">
        <v>122</v>
      </c>
      <c r="B74" s="16" t="s">
        <v>75</v>
      </c>
      <c r="C74" s="17" t="s">
        <v>120</v>
      </c>
      <c r="D74" s="18">
        <v>2</v>
      </c>
      <c r="E74" s="19">
        <f t="shared" ref="E74:E82" si="12">INDEX($F$11:$F$102,MATCH($C74,$A$11:$A$102,0))</f>
        <v>46390</v>
      </c>
      <c r="F74" s="19">
        <f t="shared" ref="F74:F82" si="13">E74+D74</f>
        <v>46392</v>
      </c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0"/>
      <c r="AQ74" s="20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</row>
    <row r="75" spans="1:59" x14ac:dyDescent="0.3">
      <c r="A75" s="15" t="s">
        <v>123</v>
      </c>
      <c r="B75" s="16" t="s">
        <v>77</v>
      </c>
      <c r="C75" s="17" t="s">
        <v>122</v>
      </c>
      <c r="D75" s="18">
        <v>4</v>
      </c>
      <c r="E75" s="19">
        <f t="shared" si="12"/>
        <v>46392</v>
      </c>
      <c r="F75" s="19">
        <f t="shared" si="13"/>
        <v>46396</v>
      </c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0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</row>
    <row r="76" spans="1:59" x14ac:dyDescent="0.3">
      <c r="A76" s="15" t="s">
        <v>124</v>
      </c>
      <c r="B76" s="16" t="s">
        <v>79</v>
      </c>
      <c r="C76" s="17" t="s">
        <v>123</v>
      </c>
      <c r="D76" s="18">
        <v>3</v>
      </c>
      <c r="E76" s="19">
        <f t="shared" si="12"/>
        <v>46396</v>
      </c>
      <c r="F76" s="19">
        <f t="shared" si="13"/>
        <v>46399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0"/>
      <c r="AR76" s="20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</row>
    <row r="77" spans="1:59" x14ac:dyDescent="0.3">
      <c r="A77" s="15" t="s">
        <v>125</v>
      </c>
      <c r="B77" s="16" t="s">
        <v>81</v>
      </c>
      <c r="C77" s="17" t="s">
        <v>124</v>
      </c>
      <c r="D77" s="18">
        <v>4</v>
      </c>
      <c r="E77" s="19">
        <f t="shared" si="12"/>
        <v>46399</v>
      </c>
      <c r="F77" s="19">
        <f t="shared" si="13"/>
        <v>46403</v>
      </c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0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</row>
    <row r="78" spans="1:59" x14ac:dyDescent="0.3">
      <c r="A78" s="15" t="s">
        <v>126</v>
      </c>
      <c r="B78" s="16" t="s">
        <v>83</v>
      </c>
      <c r="C78" s="17" t="s">
        <v>125</v>
      </c>
      <c r="D78" s="18">
        <v>15</v>
      </c>
      <c r="E78" s="19">
        <f t="shared" si="12"/>
        <v>46403</v>
      </c>
      <c r="F78" s="19">
        <f t="shared" si="13"/>
        <v>46418</v>
      </c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0"/>
      <c r="AS78" s="20"/>
      <c r="AT78" s="20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</row>
    <row r="79" spans="1:59" x14ac:dyDescent="0.3">
      <c r="A79" s="15" t="s">
        <v>127</v>
      </c>
      <c r="B79" s="16" t="s">
        <v>85</v>
      </c>
      <c r="C79" s="17" t="s">
        <v>126</v>
      </c>
      <c r="D79" s="18">
        <v>10</v>
      </c>
      <c r="E79" s="19">
        <f t="shared" si="12"/>
        <v>46418</v>
      </c>
      <c r="F79" s="19">
        <f t="shared" si="13"/>
        <v>46428</v>
      </c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0"/>
      <c r="AU79" s="20"/>
      <c r="AV79" s="20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</row>
    <row r="80" spans="1:59" x14ac:dyDescent="0.3">
      <c r="A80" s="15" t="s">
        <v>128</v>
      </c>
      <c r="B80" s="16" t="s">
        <v>87</v>
      </c>
      <c r="C80" s="17" t="s">
        <v>127</v>
      </c>
      <c r="D80" s="18">
        <v>2</v>
      </c>
      <c r="E80" s="19">
        <f t="shared" si="12"/>
        <v>46428</v>
      </c>
      <c r="F80" s="19">
        <f t="shared" si="13"/>
        <v>46430</v>
      </c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0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</row>
    <row r="81" spans="1:59" x14ac:dyDescent="0.3">
      <c r="A81" s="15" t="s">
        <v>129</v>
      </c>
      <c r="B81" s="16" t="s">
        <v>42</v>
      </c>
      <c r="C81" s="17" t="s">
        <v>128</v>
      </c>
      <c r="D81" s="18">
        <v>1</v>
      </c>
      <c r="E81" s="19">
        <f t="shared" si="12"/>
        <v>46430</v>
      </c>
      <c r="F81" s="19">
        <f t="shared" si="13"/>
        <v>46431</v>
      </c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0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</row>
    <row r="82" spans="1:59" x14ac:dyDescent="0.3">
      <c r="A82" s="15" t="s">
        <v>130</v>
      </c>
      <c r="B82" s="16" t="s">
        <v>90</v>
      </c>
      <c r="C82" s="17" t="s">
        <v>129</v>
      </c>
      <c r="D82" s="18">
        <v>1</v>
      </c>
      <c r="E82" s="19">
        <f t="shared" si="12"/>
        <v>46431</v>
      </c>
      <c r="F82" s="19">
        <f t="shared" si="13"/>
        <v>46432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0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</row>
    <row r="83" spans="1:59" x14ac:dyDescent="0.3">
      <c r="A83" s="13" t="s">
        <v>131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</row>
    <row r="84" spans="1:59" x14ac:dyDescent="0.3">
      <c r="A84" s="15" t="s">
        <v>132</v>
      </c>
      <c r="B84" s="16" t="s">
        <v>75</v>
      </c>
      <c r="C84" s="17" t="s">
        <v>130</v>
      </c>
      <c r="D84" s="18">
        <v>2</v>
      </c>
      <c r="E84" s="19">
        <f t="shared" ref="E84:E92" si="14">INDEX($F$11:$F$102,MATCH($C84,$A$11:$A$102,0))</f>
        <v>46432</v>
      </c>
      <c r="F84" s="19">
        <f t="shared" ref="F84:F92" si="15">E84+D84</f>
        <v>46434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0"/>
      <c r="AW84" s="20"/>
      <c r="AX84" s="21"/>
      <c r="AY84" s="21"/>
      <c r="AZ84" s="21"/>
      <c r="BA84" s="21"/>
      <c r="BB84" s="21"/>
      <c r="BC84" s="21"/>
      <c r="BD84" s="21"/>
      <c r="BE84" s="21"/>
      <c r="BF84" s="21"/>
      <c r="BG84" s="21"/>
    </row>
    <row r="85" spans="1:59" x14ac:dyDescent="0.3">
      <c r="A85" s="15" t="s">
        <v>133</v>
      </c>
      <c r="B85" s="16" t="s">
        <v>77</v>
      </c>
      <c r="C85" s="17" t="s">
        <v>132</v>
      </c>
      <c r="D85" s="18">
        <v>4</v>
      </c>
      <c r="E85" s="19">
        <f t="shared" si="14"/>
        <v>46434</v>
      </c>
      <c r="F85" s="19">
        <f t="shared" si="15"/>
        <v>46438</v>
      </c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0"/>
      <c r="AX85" s="21"/>
      <c r="AY85" s="21"/>
      <c r="AZ85" s="21"/>
      <c r="BA85" s="21"/>
      <c r="BB85" s="21"/>
      <c r="BC85" s="21"/>
      <c r="BD85" s="21"/>
      <c r="BE85" s="21"/>
      <c r="BF85" s="21"/>
      <c r="BG85" s="21"/>
    </row>
    <row r="86" spans="1:59" x14ac:dyDescent="0.3">
      <c r="A86" s="15" t="s">
        <v>134</v>
      </c>
      <c r="B86" s="16" t="s">
        <v>79</v>
      </c>
      <c r="C86" s="17" t="s">
        <v>133</v>
      </c>
      <c r="D86" s="18">
        <v>3</v>
      </c>
      <c r="E86" s="19">
        <f t="shared" si="14"/>
        <v>46438</v>
      </c>
      <c r="F86" s="19">
        <f t="shared" si="15"/>
        <v>46441</v>
      </c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0"/>
      <c r="AX86" s="20"/>
      <c r="AY86" s="21"/>
      <c r="AZ86" s="21"/>
      <c r="BA86" s="21"/>
      <c r="BB86" s="21"/>
      <c r="BC86" s="21"/>
      <c r="BD86" s="21"/>
      <c r="BE86" s="21"/>
      <c r="BF86" s="21"/>
      <c r="BG86" s="21"/>
    </row>
    <row r="87" spans="1:59" x14ac:dyDescent="0.3">
      <c r="A87" s="15" t="s">
        <v>135</v>
      </c>
      <c r="B87" s="16" t="s">
        <v>81</v>
      </c>
      <c r="C87" s="17" t="s">
        <v>134</v>
      </c>
      <c r="D87" s="18">
        <v>4</v>
      </c>
      <c r="E87" s="19">
        <f t="shared" si="14"/>
        <v>46441</v>
      </c>
      <c r="F87" s="19">
        <f t="shared" si="15"/>
        <v>46445</v>
      </c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0"/>
      <c r="AY87" s="21"/>
      <c r="AZ87" s="21"/>
      <c r="BA87" s="21"/>
      <c r="BB87" s="21"/>
      <c r="BC87" s="21"/>
      <c r="BD87" s="21"/>
      <c r="BE87" s="21"/>
      <c r="BF87" s="21"/>
      <c r="BG87" s="21"/>
    </row>
    <row r="88" spans="1:59" x14ac:dyDescent="0.3">
      <c r="A88" s="15" t="s">
        <v>136</v>
      </c>
      <c r="B88" s="16" t="s">
        <v>83</v>
      </c>
      <c r="C88" s="17" t="s">
        <v>135</v>
      </c>
      <c r="D88" s="18">
        <v>15</v>
      </c>
      <c r="E88" s="19">
        <f t="shared" si="14"/>
        <v>46445</v>
      </c>
      <c r="F88" s="19">
        <f t="shared" si="15"/>
        <v>46460</v>
      </c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0"/>
      <c r="AY88" s="20"/>
      <c r="AZ88" s="20"/>
      <c r="BA88" s="21"/>
      <c r="BB88" s="21"/>
      <c r="BC88" s="21"/>
      <c r="BD88" s="21"/>
      <c r="BE88" s="21"/>
      <c r="BF88" s="21"/>
      <c r="BG88" s="21"/>
    </row>
    <row r="89" spans="1:59" x14ac:dyDescent="0.3">
      <c r="A89" s="15" t="s">
        <v>137</v>
      </c>
      <c r="B89" s="16" t="s">
        <v>85</v>
      </c>
      <c r="C89" s="17" t="s">
        <v>136</v>
      </c>
      <c r="D89" s="18">
        <v>10</v>
      </c>
      <c r="E89" s="19">
        <f t="shared" si="14"/>
        <v>46460</v>
      </c>
      <c r="F89" s="19">
        <f t="shared" si="15"/>
        <v>46470</v>
      </c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0"/>
      <c r="BA89" s="20"/>
      <c r="BB89" s="20"/>
      <c r="BC89" s="21"/>
      <c r="BD89" s="21"/>
      <c r="BE89" s="21"/>
      <c r="BF89" s="21"/>
      <c r="BG89" s="21"/>
    </row>
    <row r="90" spans="1:59" x14ac:dyDescent="0.3">
      <c r="A90" s="15" t="s">
        <v>138</v>
      </c>
      <c r="B90" s="16" t="s">
        <v>87</v>
      </c>
      <c r="C90" s="17" t="s">
        <v>137</v>
      </c>
      <c r="D90" s="18">
        <v>2</v>
      </c>
      <c r="E90" s="19">
        <f t="shared" si="14"/>
        <v>46470</v>
      </c>
      <c r="F90" s="19">
        <f t="shared" si="15"/>
        <v>46472</v>
      </c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0"/>
      <c r="BC90" s="21"/>
      <c r="BD90" s="21"/>
      <c r="BE90" s="21"/>
      <c r="BF90" s="21"/>
      <c r="BG90" s="21"/>
    </row>
    <row r="91" spans="1:59" x14ac:dyDescent="0.3">
      <c r="A91" s="15" t="s">
        <v>139</v>
      </c>
      <c r="B91" s="16" t="s">
        <v>42</v>
      </c>
      <c r="C91" s="17" t="s">
        <v>138</v>
      </c>
      <c r="D91" s="18">
        <v>1</v>
      </c>
      <c r="E91" s="19">
        <f t="shared" si="14"/>
        <v>46472</v>
      </c>
      <c r="F91" s="19">
        <f t="shared" si="15"/>
        <v>46473</v>
      </c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0"/>
      <c r="BC91" s="21"/>
      <c r="BD91" s="21"/>
      <c r="BE91" s="21"/>
      <c r="BF91" s="21"/>
      <c r="BG91" s="21"/>
    </row>
    <row r="92" spans="1:59" x14ac:dyDescent="0.3">
      <c r="A92" s="15" t="s">
        <v>140</v>
      </c>
      <c r="B92" s="16" t="s">
        <v>90</v>
      </c>
      <c r="C92" s="17" t="s">
        <v>139</v>
      </c>
      <c r="D92" s="18">
        <v>1</v>
      </c>
      <c r="E92" s="19">
        <f t="shared" si="14"/>
        <v>46473</v>
      </c>
      <c r="F92" s="19">
        <f t="shared" si="15"/>
        <v>46474</v>
      </c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0"/>
      <c r="BC92" s="21"/>
      <c r="BD92" s="21"/>
      <c r="BE92" s="21"/>
      <c r="BF92" s="21"/>
      <c r="BG92" s="21"/>
    </row>
    <row r="93" spans="1:59" x14ac:dyDescent="0.3">
      <c r="A93" s="13" t="s">
        <v>141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</row>
    <row r="94" spans="1:59" x14ac:dyDescent="0.3">
      <c r="A94" s="15" t="s">
        <v>142</v>
      </c>
      <c r="B94" s="16" t="s">
        <v>75</v>
      </c>
      <c r="C94" s="17" t="s">
        <v>140</v>
      </c>
      <c r="D94" s="18">
        <v>2</v>
      </c>
      <c r="E94" s="19">
        <f t="shared" ref="E94:E102" si="16">INDEX($F$11:$F$102,MATCH($C94,$A$11:$A$102,0))</f>
        <v>46474</v>
      </c>
      <c r="F94" s="19">
        <f t="shared" ref="F94:F102" si="17">E94+D94</f>
        <v>46476</v>
      </c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0"/>
      <c r="BC94" s="20"/>
      <c r="BD94" s="21"/>
      <c r="BE94" s="21"/>
      <c r="BF94" s="21"/>
      <c r="BG94" s="21"/>
    </row>
    <row r="95" spans="1:59" x14ac:dyDescent="0.3">
      <c r="A95" s="15" t="s">
        <v>143</v>
      </c>
      <c r="B95" s="16" t="s">
        <v>77</v>
      </c>
      <c r="C95" s="17" t="s">
        <v>142</v>
      </c>
      <c r="D95" s="18">
        <v>4</v>
      </c>
      <c r="E95" s="19">
        <f t="shared" si="16"/>
        <v>46476</v>
      </c>
      <c r="F95" s="19">
        <f t="shared" si="17"/>
        <v>46480</v>
      </c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0"/>
      <c r="BD95" s="21"/>
      <c r="BE95" s="21"/>
      <c r="BF95" s="21"/>
      <c r="BG95" s="21"/>
    </row>
    <row r="96" spans="1:59" x14ac:dyDescent="0.3">
      <c r="A96" s="15" t="s">
        <v>144</v>
      </c>
      <c r="B96" s="16" t="s">
        <v>79</v>
      </c>
      <c r="C96" s="17" t="s">
        <v>143</v>
      </c>
      <c r="D96" s="18">
        <v>3</v>
      </c>
      <c r="E96" s="19">
        <f t="shared" si="16"/>
        <v>46480</v>
      </c>
      <c r="F96" s="19">
        <f t="shared" si="17"/>
        <v>46483</v>
      </c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0"/>
      <c r="BD96" s="20"/>
      <c r="BE96" s="21"/>
      <c r="BF96" s="21"/>
      <c r="BG96" s="21"/>
    </row>
    <row r="97" spans="1:59" x14ac:dyDescent="0.3">
      <c r="A97" s="15" t="s">
        <v>145</v>
      </c>
      <c r="B97" s="16" t="s">
        <v>81</v>
      </c>
      <c r="C97" s="17" t="s">
        <v>144</v>
      </c>
      <c r="D97" s="18">
        <v>4</v>
      </c>
      <c r="E97" s="19">
        <f t="shared" si="16"/>
        <v>46483</v>
      </c>
      <c r="F97" s="19">
        <f t="shared" si="17"/>
        <v>46487</v>
      </c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0"/>
      <c r="BE97" s="21"/>
      <c r="BF97" s="21"/>
      <c r="BG97" s="21"/>
    </row>
    <row r="98" spans="1:59" x14ac:dyDescent="0.3">
      <c r="A98" s="15" t="s">
        <v>146</v>
      </c>
      <c r="B98" s="16" t="s">
        <v>83</v>
      </c>
      <c r="C98" s="17" t="s">
        <v>145</v>
      </c>
      <c r="D98" s="18">
        <v>7</v>
      </c>
      <c r="E98" s="19">
        <f t="shared" si="16"/>
        <v>46487</v>
      </c>
      <c r="F98" s="19">
        <f t="shared" si="17"/>
        <v>46494</v>
      </c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0"/>
      <c r="BE98" s="20"/>
      <c r="BF98" s="21"/>
      <c r="BG98" s="21"/>
    </row>
    <row r="99" spans="1:59" x14ac:dyDescent="0.3">
      <c r="A99" s="15" t="s">
        <v>147</v>
      </c>
      <c r="B99" s="16" t="s">
        <v>85</v>
      </c>
      <c r="C99" s="17" t="s">
        <v>146</v>
      </c>
      <c r="D99" s="18">
        <v>7</v>
      </c>
      <c r="E99" s="19">
        <f t="shared" si="16"/>
        <v>46494</v>
      </c>
      <c r="F99" s="19">
        <f t="shared" si="17"/>
        <v>46501</v>
      </c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0"/>
      <c r="BF99" s="20"/>
      <c r="BG99" s="21"/>
    </row>
    <row r="100" spans="1:59" x14ac:dyDescent="0.3">
      <c r="A100" s="15" t="s">
        <v>148</v>
      </c>
      <c r="B100" s="16" t="s">
        <v>87</v>
      </c>
      <c r="C100" s="17" t="s">
        <v>147</v>
      </c>
      <c r="D100" s="18">
        <v>2</v>
      </c>
      <c r="E100" s="19">
        <f t="shared" si="16"/>
        <v>46501</v>
      </c>
      <c r="F100" s="19">
        <f t="shared" si="17"/>
        <v>46503</v>
      </c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0"/>
      <c r="BG100" s="20"/>
    </row>
    <row r="101" spans="1:59" x14ac:dyDescent="0.3">
      <c r="A101" s="15" t="s">
        <v>149</v>
      </c>
      <c r="B101" s="16" t="s">
        <v>42</v>
      </c>
      <c r="C101" s="17" t="s">
        <v>148</v>
      </c>
      <c r="D101" s="18">
        <v>1</v>
      </c>
      <c r="E101" s="19">
        <f t="shared" si="16"/>
        <v>46503</v>
      </c>
      <c r="F101" s="19">
        <f t="shared" si="17"/>
        <v>46504</v>
      </c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0"/>
    </row>
    <row r="102" spans="1:59" x14ac:dyDescent="0.3">
      <c r="A102" s="15" t="s">
        <v>150</v>
      </c>
      <c r="B102" s="16" t="s">
        <v>90</v>
      </c>
      <c r="C102" s="17" t="s">
        <v>149</v>
      </c>
      <c r="D102" s="18">
        <v>1</v>
      </c>
      <c r="E102" s="19">
        <f t="shared" si="16"/>
        <v>46504</v>
      </c>
      <c r="F102" s="19">
        <f t="shared" si="17"/>
        <v>46505</v>
      </c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0"/>
    </row>
    <row r="104" spans="1:59" x14ac:dyDescent="0.3">
      <c r="A104" s="22" t="s">
        <v>151</v>
      </c>
    </row>
    <row r="105" spans="1:59" x14ac:dyDescent="0.3">
      <c r="A105" s="22" t="s">
        <v>152</v>
      </c>
    </row>
    <row r="107" spans="1:59" x14ac:dyDescent="0.3">
      <c r="A107" s="23" t="s">
        <v>153</v>
      </c>
    </row>
  </sheetData>
  <mergeCells count="12">
    <mergeCell ref="AY8:BC8"/>
    <mergeCell ref="BD8:BG8"/>
    <mergeCell ref="AD8:AG8"/>
    <mergeCell ref="AH8:AL8"/>
    <mergeCell ref="AM8:AP8"/>
    <mergeCell ref="AQ8:AT8"/>
    <mergeCell ref="AU8:AX8"/>
    <mergeCell ref="H8:K8"/>
    <mergeCell ref="L8:P8"/>
    <mergeCell ref="Q8:T8"/>
    <mergeCell ref="U8:Y8"/>
    <mergeCell ref="Z8:AC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Scheduler 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Chandra, Mr. Chinmay</cp:lastModifiedBy>
  <cp:revision>0</cp:revision>
  <dcterms:created xsi:type="dcterms:W3CDTF">2026-08-13T10:32:50Z</dcterms:created>
  <dcterms:modified xsi:type="dcterms:W3CDTF">2026-09-03T02:38:18Z</dcterms:modified>
  <dc:language>en-US</dc:language>
</cp:coreProperties>
</file>