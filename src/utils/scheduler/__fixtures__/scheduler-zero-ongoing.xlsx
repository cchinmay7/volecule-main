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r Ze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<sst xmlns="http://schemas.openxmlformats.org/spreadsheetml/2006/main" count="381" uniqueCount="161">
  <si>
    <t xml:space="preserve">VOLECULE</t>
  </si>
  <si>
    <t xml:space="preserve">We don't execute. We only verify.</t>
  </si>
  <si>
    <t xml:space="preserve">PROJECT</t>
  </si>
  <si>
    <t xml:space="preserve">V04F01 — Madhav Arambol Residence (S+4 + Terrace + Mumty), Arambol, Goa</t>
  </si>
  <si>
    <t xml:space="preserve">FRAME FINISH</t>
  </si>
  <si>
    <t xml:space="preserve">DOCUMENT</t>
  </si>
  <si>
    <t xml:space="preserve">Scheduler Zero (Sch-0) — Baseline Structural Programme  |  Progress overlay as of V04F01-06 · 18-Sep-2026</t>
  </si>
  <si>
    <t xml:space="preserve">BASIS</t>
  </si>
  <si>
    <t xml:space="preserve">Contractor structural programme (footings → mumty). Frame only — excludes finishes, waterproofing, MEP fit-out &amp; handover.</t>
  </si>
  <si>
    <t xml:space="preserve">BASELINE START</t>
  </si>
  <si>
    <t xml:space="preserve">AS OF 18-SEP-2026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</si>
  <si>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</si>
  <si>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</si>
  <si>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</si>
  <si>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</si>
  <si>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</si>
  <si>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</si>
  <si>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</si>
  <si>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</si>
  <si>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</si>
  <si>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</si>
  <si>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</si>
  <si>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</si>
  <si>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</si>
  <si>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WORK</t>
  </si>
  <si>
    <t xml:space="preserve">ACTIVITY</t>
  </si>
  <si>
    <t xml:space="preserve">PRED.</t>
  </si>
  <si>
    <t xml:space="preserve">DUR (d)</t>
  </si>
  <si>
    <t xml:space="preserve">START</t>
  </si>
  <si>
    <t xml:space="preserve">FINISH</t>
  </si>
  <si>
    <t xml:space="preserve">STATUS @ ENTRY</t>
  </si>
  <si>
    <t xml:space="preserve">DATE OF COMPLETION</t>
  </si>
  <si>
    <t xml:space="preserve">FOUNDATION &amp; SUBSTRUCTURE</t>
  </si>
  <si>
    <t xml:space="preserve">W1</t>
  </si>
  <si>
    <t xml:space="preserve">Excavation in Hard Rock up to 1.5 m (Footings)</t>
  </si>
  <si>
    <t xml:space="preserve">—</t>
  </si>
  <si>
    <t xml:space="preserve">Completed</t>
  </si>
  <si>
    <t xml:space="preserve">W2</t>
  </si>
  <si>
    <t xml:space="preserve">Soiling</t>
  </si>
  <si>
    <t xml:space="preserve">W3</t>
  </si>
  <si>
    <t xml:space="preserve">PCC for Footings</t>
  </si>
  <si>
    <t xml:space="preserve">W4</t>
  </si>
  <si>
    <t xml:space="preserve">Shuttering for Footing Boxes</t>
  </si>
  <si>
    <t xml:space="preserve">W5</t>
  </si>
  <si>
    <t xml:space="preserve">Tieing of Foundation Jaali &amp; Column</t>
  </si>
  <si>
    <t xml:space="preserve">W6</t>
  </si>
  <si>
    <t xml:space="preserve">Checking of Steel</t>
  </si>
  <si>
    <t xml:space="preserve">W7</t>
  </si>
  <si>
    <t xml:space="preserve">Casting of Footings</t>
  </si>
  <si>
    <t xml:space="preserve">R.C.C. WORKS — STUB COLUMN &amp; PLINTH</t>
  </si>
  <si>
    <t xml:space="preserve">W8</t>
  </si>
  <si>
    <t xml:space="preserve">Line-out &amp; Starter for Stub Column</t>
  </si>
  <si>
    <t xml:space="preserve">W9</t>
  </si>
  <si>
    <t xml:space="preserve">Shuttering for Stub Column</t>
  </si>
  <si>
    <t xml:space="preserve">W10</t>
  </si>
  <si>
    <t xml:space="preserve">Casting of Stub Column</t>
  </si>
  <si>
    <t xml:space="preserve">W11</t>
  </si>
  <si>
    <t xml:space="preserve">Excavation of Plinth Beams</t>
  </si>
  <si>
    <t xml:space="preserve">W12</t>
  </si>
  <si>
    <t xml:space="preserve">PCC Below</t>
  </si>
  <si>
    <t xml:space="preserve">W13</t>
  </si>
  <si>
    <t xml:space="preserve">Masonry Below Plinth</t>
  </si>
  <si>
    <t xml:space="preserve">W14</t>
  </si>
  <si>
    <t xml:space="preserve">Shuttering for Plinth Beam</t>
  </si>
  <si>
    <t xml:space="preserve">W15</t>
  </si>
  <si>
    <t xml:space="preserve">Tieing of Reinforcement</t>
  </si>
  <si>
    <t xml:space="preserve">W16</t>
  </si>
  <si>
    <t xml:space="preserve">W17</t>
  </si>
  <si>
    <t xml:space="preserve">Concreting of Plinth Beam</t>
  </si>
  <si>
    <t xml:space="preserve">W18</t>
  </si>
  <si>
    <t xml:space="preserve">De-shuttering of Plinth Beam</t>
  </si>
  <si>
    <t xml:space="preserve">W19</t>
  </si>
  <si>
    <t xml:space="preserve">Backfilling in Plinth</t>
  </si>
  <si>
    <t xml:space="preserve">W20</t>
  </si>
  <si>
    <t xml:space="preserve">Rubble Soling in Plinth</t>
  </si>
  <si>
    <t xml:space="preserve">W21</t>
  </si>
  <si>
    <t xml:space="preserve">PCC in Plinth</t>
  </si>
  <si>
    <t xml:space="preserve">SUPERSTRUCTURE — GROUND FLOOR</t>
  </si>
  <si>
    <t xml:space="preserve">W22</t>
  </si>
  <si>
    <t xml:space="preserve">Column Marking &amp; Starter Work</t>
  </si>
  <si>
    <t xml:space="preserve">W23</t>
  </si>
  <si>
    <t xml:space="preserve">Column Shuttering</t>
  </si>
  <si>
    <t xml:space="preserve">W24</t>
  </si>
  <si>
    <t xml:space="preserve">Column Steel Work</t>
  </si>
  <si>
    <t xml:space="preserve">W25</t>
  </si>
  <si>
    <t xml:space="preserve">Column Casting</t>
  </si>
  <si>
    <t xml:space="preserve">W26</t>
  </si>
  <si>
    <t xml:space="preserve">Slab Shuttering</t>
  </si>
  <si>
    <t xml:space="preserve">W27</t>
  </si>
  <si>
    <t xml:space="preserve">Slab Steel</t>
  </si>
  <si>
    <t xml:space="preserve">W28</t>
  </si>
  <si>
    <t xml:space="preserve">Electrical Conduits Work</t>
  </si>
  <si>
    <t xml:space="preserve">W29</t>
  </si>
  <si>
    <t xml:space="preserve">W30</t>
  </si>
  <si>
    <t xml:space="preserve">Casting of Slab incl. Staircase</t>
  </si>
  <si>
    <t xml:space="preserve">SUPERSTRUCTURE — FIRST FLOOR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</si>
  <si>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</si>
  <si>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</si>
  <si>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</si>
  <si>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</si>
  <si>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</si>
  <si>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In Progress</t>
  </si>
  <si>
    <t xml:space="preserve">W36</t>
  </si>
  <si>
    <t xml:space="preserve">Not Started</t>
  </si>
  <si>
    <t xml:space="preserve">W37</t>
  </si>
  <si>
    <t xml:space="preserve">W38</t>
  </si>
  <si>
    <t xml:space="preserve">W39</t>
  </si>
  <si>
    <t xml:space="preserve">SUPERSTRUCTURE — SECOND FLOOR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</si>
  <si>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</si>
  <si>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</si>
  <si>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</si>
  <si>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</si>
  <si>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</si>
  <si>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</si>
  <si>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W46</t>
  </si>
  <si>
    <t xml:space="preserve">W47</t>
  </si>
  <si>
    <t xml:space="preserve">W48</t>
  </si>
  <si>
    <t xml:space="preserve">SUPERSTRUCTURE — THIRD FLOOR</t>
  </si>
  <si>
    <t xml:space="preserve">W49</t>
  </si>
  <si>
    <t xml:space="preserve">W50</t>
  </si>
  <si>
    <t xml:space="preserve">W51</t>
  </si>
  <si>
    <t xml:space="preserve">W52</t>
  </si>
  <si>
    <t xml:space="preserve">W53</t>
  </si>
  <si>
    <t xml:space="preserve">W54</t>
  </si>
  <si>
    <t xml:space="preserve">W55</t>
  </si>
  <si>
    <t xml:space="preserve">W56</t>
  </si>
  <si>
    <t xml:space="preserve">W57</t>
  </si>
  <si>
    <t xml:space="preserve">SUPERSTRUCTURE — FOURTH FLOOR</t>
  </si>
  <si>
    <t xml:space="preserve">W58</t>
  </si>
  <si>
    <t xml:space="preserve">W59</t>
  </si>
  <si>
    <t xml:space="preserve">W60</t>
  </si>
  <si>
    <t xml:space="preserve">W61</t>
  </si>
  <si>
    <t xml:space="preserve">W62</t>
  </si>
  <si>
    <t xml:space="preserve">W63</t>
  </si>
  <si>
    <t xml:space="preserve">W64</t>
  </si>
  <si>
    <t xml:space="preserve">W65</t>
  </si>
  <si>
    <t xml:space="preserve">W66</t>
  </si>
  <si>
    <t xml:space="preserve">SUPERSTRUCTURE — TERRACE FLOOR</t>
  </si>
  <si>
    <t xml:space="preserve">W67</t>
  </si>
  <si>
    <t xml:space="preserve">W68</t>
  </si>
  <si>
    <t xml:space="preserve">W69</t>
  </si>
  <si>
    <t xml:space="preserve">W70</t>
  </si>
  <si>
    <t xml:space="preserve">W71</t>
  </si>
  <si>
    <t xml:space="preserve">W72</t>
  </si>
  <si>
    <t xml:space="preserve">W73</t>
  </si>
  <si>
    <t xml:space="preserve">W74</t>
  </si>
  <si>
    <t xml:space="preserve">W75</t>
  </si>
  <si>
    <t xml:space="preserve">SUPERSTRUCTURE — MUMTY FLOOR</t>
  </si>
  <si>
    <t xml:space="preserve">W76</t>
  </si>
  <si>
    <t xml:space="preserve">W77</t>
  </si>
  <si>
    <t xml:space="preserve">W78</t>
  </si>
  <si>
    <t xml:space="preserve">W79</t>
  </si>
  <si>
    <t xml:space="preserve">W80</t>
  </si>
  <si>
    <t xml:space="preserve">W81</t>
  </si>
  <si>
    <t xml:space="preserve">W82</t>
  </si>
  <si>
    <t xml:space="preserve">W83</t>
  </si>
  <si>
    <t xml:space="preserve">W84</t>
  </si>
  <si>
    <t xml:space="preserve">Baseline logic: each activity is finish-to-start linked to its predecessor. Start = predecessor Finish; Finish = Start + Duration. Edit any Duration (col D) or the Baseline Start (B7) and the whole chain re-sequences.</t>
  </si>
  <si>
    <t xml:space="preserve">Calendar-day model (no non-working days), reproducing the contractor programme as issued. Curing / striking float and monsoon contingency not embedded — flagged separately.  Completion dates are taken as programmed; site visits V04F01-02→06 corroborate the frame tracking the baseline (footings→1st-floor columns cast, 1st-floor slab in progress).</t>
  </si>
  <si>
    <t xml:space="preserve">STATUS @ ENTRY / DATE OF COMPLETION reflect progress as of 18-Sep-2026 (site visit V04F01-06). Grey bar = activity fully completed; black bar = not yet complete (in progress or not started). Thick vertical line marks the as-of date.</t>
  </si>
  <si>
    <t xml:space="preserve">volecule.com  |  info@volecule.com  |  +91-8383893877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</si>
</sst>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0&quot; days&quot;"/>
    <numFmt numFmtId="167" formatCode="dd\-mmm\-yyyy"/>
    <numFmt numFmtId="168" formatCode="dd\-m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8"/>
      <color rgb="FF80808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7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6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BFBFB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8" fontId="13" fillId="3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I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I10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2"/>
    <col collapsed="false" customWidth="true" hidden="false" outlineLevel="0" max="4" min="3" style="1" width="7"/>
    <col collapsed="false" customWidth="true" hidden="false" outlineLevel="0" max="6" min="5" style="1" width="11"/>
    <col collapsed="false" customWidth="true" hidden="false" outlineLevel="0" max="7" min="7" style="1" width="14"/>
    <col collapsed="false" customWidth="true" hidden="false" outlineLevel="0" max="8" min="8" style="1" width="17"/>
    <col collapsed="false" customWidth="true" hidden="false" outlineLevel="0" max="61" min="9" style="1" width="2.56"/>
  </cols>
  <sheetData>
    <row r="1" customFormat="false" ht="24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3" customFormat="false" ht="14.25" hidden="false" customHeight="true" outlineLevel="0" collapsed="false"/>
    <row r="4" customFormat="false" ht="14.25" hidden="false" customHeight="true" outlineLevel="0" collapsed="false">
      <c r="A4" s="4" t="s">
        <v>2</v>
      </c>
      <c r="B4" s="5" t="s">
        <v>3</v>
      </c>
      <c r="F4" s="6" t="s">
        <v>4</v>
      </c>
    </row>
    <row r="5" customFormat="false" ht="14.25" hidden="false" customHeight="true" outlineLevel="0" collapsed="false">
      <c r="A5" s="4" t="s">
        <v>5</v>
      </c>
      <c r="B5" s="5" t="s">
        <v>6</v>
      </c>
      <c r="F5" s="7" t="n">
        <f aca="false">F102</f>
        <v>46505</v>
      </c>
    </row>
    <row r="6" customFormat="false" ht="14.25" hidden="false" customHeight="true" outlineLevel="0" collapsed="false">
      <c r="A6" s="4" t="s">
        <v>7</v>
      </c>
      <c r="B6" s="5" t="s">
        <v>8</v>
      </c>
      <c r="F6" s="8" t="n">
        <f aca="false">F102-$B$7</f>
        <v>366</v>
      </c>
    </row>
    <row r="7" customFormat="false" ht="14.25" hidden="false" customHeight="true" outlineLevel="0" collapsed="false">
      <c r="A7" s="4" t="s">
        <v>9</v>
      </c>
      <c r="B7" s="9" t="n">
        <v>46139</v>
      </c>
      <c r="J7" s="10"/>
      <c r="AC7" s="10" t="s">
        <v>10</v>
      </c>
    </row>
    <row r="8" customFormat="false" ht="13.5" hidden="false" customHeight="true" outlineLevel="0" collapsed="false">
      <c r="G8" s="11"/>
      <c r="I8" s="11" t="s">
        <v>11</v>
      </c>
      <c r="J8" s="12" t="s">
        <v>12</v>
      </c>
      <c r="K8" s="12"/>
      <c r="L8" s="12"/>
      <c r="M8" s="12"/>
      <c r="N8" s="12" t="s">
        <v>13</v>
      </c>
      <c r="O8" s="12"/>
      <c r="P8" s="12"/>
      <c r="Q8" s="12"/>
      <c r="R8" s="12"/>
      <c r="S8" s="12" t="s">
        <v>14</v>
      </c>
      <c r="T8" s="12"/>
      <c r="U8" s="12"/>
      <c r="V8" s="12"/>
      <c r="W8" s="12" t="s">
        <v>15</v>
      </c>
      <c r="X8" s="12"/>
      <c r="Y8" s="12"/>
      <c r="Z8" s="12"/>
      <c r="AA8" s="12"/>
      <c r="AB8" s="12" t="s">
        <v>16</v>
      </c>
      <c r="AC8" s="12"/>
      <c r="AD8" s="12"/>
      <c r="AE8" s="12"/>
      <c r="AF8" s="12" t="s">
        <v>17</v>
      </c>
      <c r="AG8" s="12"/>
      <c r="AH8" s="12"/>
      <c r="AI8" s="12"/>
      <c r="AJ8" s="12" t="s">
        <v>18</v>
      </c>
      <c r="AK8" s="12"/>
      <c r="AL8" s="12"/>
      <c r="AM8" s="12"/>
      <c r="AN8" s="12"/>
      <c r="AO8" s="12" t="s">
        <v>19</v>
      </c>
      <c r="AP8" s="12"/>
      <c r="AQ8" s="12"/>
      <c r="AR8" s="12"/>
      <c r="AS8" s="12" t="s">
        <v>20</v>
      </c>
      <c r="AT8" s="12"/>
      <c r="AU8" s="12"/>
      <c r="AV8" s="12"/>
      <c r="AW8" s="12" t="s">
        <v>21</v>
      </c>
      <c r="AX8" s="12"/>
      <c r="AY8" s="12"/>
      <c r="AZ8" s="12"/>
      <c r="BA8" s="12" t="s">
        <v>22</v>
      </c>
      <c r="BB8" s="12"/>
      <c r="BC8" s="12"/>
      <c r="BD8" s="12"/>
      <c r="BE8" s="12"/>
      <c r="BF8" s="12" t="s">
        <v>23</v>
      </c>
      <c r="BG8" s="12"/>
      <c r="BH8" s="12"/>
      <c r="BI8" s="12"/>
    </row>
    <row r="9" customFormat="false" ht="42" hidden="false" customHeight="true" outlineLevel="0" collapsed="false">
      <c r="A9" s="13" t="s">
        <v>24</v>
      </c>
      <c r="B9" s="13" t="s">
        <v>25</v>
      </c>
      <c r="C9" s="13" t="s">
        <v>26</v>
      </c>
      <c r="D9" s="13" t="s">
        <v>27</v>
      </c>
      <c r="E9" s="13" t="s">
        <v>28</v>
      </c>
      <c r="F9" s="13" t="s">
        <v>29</v>
      </c>
      <c r="G9" s="14" t="s">
        <v>30</v>
      </c>
      <c r="H9" s="14" t="s">
        <v>31</v>
      </c>
      <c r="I9" s="15" t="n">
        <v>46139</v>
      </c>
      <c r="J9" s="15" t="n">
        <v>46146</v>
      </c>
      <c r="K9" s="15" t="n">
        <v>46153</v>
      </c>
      <c r="L9" s="15" t="n">
        <v>46160</v>
      </c>
      <c r="M9" s="15" t="n">
        <v>46167</v>
      </c>
      <c r="N9" s="15" t="n">
        <v>46174</v>
      </c>
      <c r="O9" s="15" t="n">
        <v>46181</v>
      </c>
      <c r="P9" s="15" t="n">
        <v>46188</v>
      </c>
      <c r="Q9" s="15" t="n">
        <v>46195</v>
      </c>
      <c r="R9" s="15" t="n">
        <v>46202</v>
      </c>
      <c r="S9" s="15" t="n">
        <v>46209</v>
      </c>
      <c r="T9" s="15" t="n">
        <v>46216</v>
      </c>
      <c r="U9" s="15" t="n">
        <v>46223</v>
      </c>
      <c r="V9" s="15" t="n">
        <v>46230</v>
      </c>
      <c r="W9" s="15" t="n">
        <v>46237</v>
      </c>
      <c r="X9" s="15" t="n">
        <v>46244</v>
      </c>
      <c r="Y9" s="15" t="n">
        <v>46251</v>
      </c>
      <c r="Z9" s="15" t="n">
        <v>46258</v>
      </c>
      <c r="AA9" s="15" t="n">
        <v>46265</v>
      </c>
      <c r="AB9" s="15" t="n">
        <v>46272</v>
      </c>
      <c r="AC9" s="16" t="n">
        <v>46279</v>
      </c>
      <c r="AD9" s="15" t="n">
        <v>46286</v>
      </c>
      <c r="AE9" s="15" t="n">
        <v>46293</v>
      </c>
      <c r="AF9" s="15" t="n">
        <v>46300</v>
      </c>
      <c r="AG9" s="15" t="n">
        <v>46307</v>
      </c>
      <c r="AH9" s="15" t="n">
        <v>46314</v>
      </c>
      <c r="AI9" s="15" t="n">
        <v>46321</v>
      </c>
      <c r="AJ9" s="15" t="n">
        <v>46328</v>
      </c>
      <c r="AK9" s="15" t="n">
        <v>46335</v>
      </c>
      <c r="AL9" s="15" t="n">
        <v>46342</v>
      </c>
      <c r="AM9" s="15" t="n">
        <v>46349</v>
      </c>
      <c r="AN9" s="15" t="n">
        <v>46356</v>
      </c>
      <c r="AO9" s="15" t="n">
        <v>46363</v>
      </c>
      <c r="AP9" s="15" t="n">
        <v>46370</v>
      </c>
      <c r="AQ9" s="15" t="n">
        <v>46377</v>
      </c>
      <c r="AR9" s="15" t="n">
        <v>46384</v>
      </c>
      <c r="AS9" s="15" t="n">
        <v>46391</v>
      </c>
      <c r="AT9" s="15" t="n">
        <v>46398</v>
      </c>
      <c r="AU9" s="15" t="n">
        <v>46405</v>
      </c>
      <c r="AV9" s="15" t="n">
        <v>46412</v>
      </c>
      <c r="AW9" s="15" t="n">
        <v>46419</v>
      </c>
      <c r="AX9" s="15" t="n">
        <v>46426</v>
      </c>
      <c r="AY9" s="15" t="n">
        <v>46433</v>
      </c>
      <c r="AZ9" s="15" t="n">
        <v>46440</v>
      </c>
      <c r="BA9" s="15" t="n">
        <v>46447</v>
      </c>
      <c r="BB9" s="15" t="n">
        <v>46454</v>
      </c>
      <c r="BC9" s="15" t="n">
        <v>46461</v>
      </c>
      <c r="BD9" s="15" t="n">
        <v>46468</v>
      </c>
      <c r="BE9" s="15" t="n">
        <v>46475</v>
      </c>
      <c r="BF9" s="15" t="n">
        <v>46482</v>
      </c>
      <c r="BG9" s="15" t="n">
        <v>46489</v>
      </c>
      <c r="BH9" s="15" t="n">
        <v>46496</v>
      </c>
      <c r="BI9" s="15" t="n">
        <v>46503</v>
      </c>
    </row>
    <row r="10" customFormat="false" ht="14.25" hidden="false" customHeight="true" outlineLevel="0" collapsed="false">
      <c r="A10" s="17" t="s">
        <v>32</v>
      </c>
      <c r="B10" s="18"/>
      <c r="C10" s="18"/>
      <c r="D10" s="18"/>
      <c r="E10" s="18"/>
      <c r="F10" s="18"/>
      <c r="G10" s="19"/>
      <c r="H10" s="19"/>
      <c r="I10" s="18"/>
      <c r="J10" s="20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20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</row>
    <row r="11" customFormat="false" ht="14.25" hidden="false" customHeight="true" outlineLevel="0" collapsed="false">
      <c r="A11" s="21" t="s">
        <v>33</v>
      </c>
      <c r="B11" s="22" t="s">
        <v>34</v>
      </c>
      <c r="C11" s="23" t="s">
        <v>35</v>
      </c>
      <c r="D11" s="24" t="n">
        <v>7</v>
      </c>
      <c r="E11" s="25" t="n">
        <f aca="false">$B$7</f>
        <v>46139</v>
      </c>
      <c r="F11" s="25" t="n">
        <f aca="false">E11+D11</f>
        <v>46146</v>
      </c>
      <c r="G11" s="26" t="s">
        <v>36</v>
      </c>
      <c r="H11" s="27" t="n">
        <v>46146</v>
      </c>
      <c r="I11" s="28"/>
      <c r="J11" s="28"/>
      <c r="AC11" s="29"/>
    </row>
    <row r="12" customFormat="false" ht="14.25" hidden="false" customHeight="true" outlineLevel="0" collapsed="false">
      <c r="A12" s="21" t="s">
        <v>37</v>
      </c>
      <c r="B12" s="22" t="s">
        <v>38</v>
      </c>
      <c r="C12" s="23" t="s">
        <v>33</v>
      </c>
      <c r="D12" s="24" t="n">
        <v>4</v>
      </c>
      <c r="E12" s="25" t="n">
        <f aca="false">INDEX($F$11:$F$102,MATCH($C12,$A$11:$A$102,0))</f>
        <v>46146</v>
      </c>
      <c r="F12" s="25" t="n">
        <f aca="false">E12+D12</f>
        <v>46150</v>
      </c>
      <c r="G12" s="26" t="s">
        <v>36</v>
      </c>
      <c r="H12" s="27" t="n">
        <v>46150</v>
      </c>
      <c r="J12" s="28"/>
      <c r="AC12" s="29"/>
    </row>
    <row r="13" customFormat="false" ht="14.25" hidden="false" customHeight="true" outlineLevel="0" collapsed="false">
      <c r="A13" s="21" t="s">
        <v>39</v>
      </c>
      <c r="B13" s="22" t="s">
        <v>40</v>
      </c>
      <c r="C13" s="23" t="s">
        <v>37</v>
      </c>
      <c r="D13" s="24" t="n">
        <v>4</v>
      </c>
      <c r="E13" s="25" t="n">
        <f aca="false">INDEX($F$11:$F$102,MATCH($C13,$A$11:$A$102,0))</f>
        <v>46150</v>
      </c>
      <c r="F13" s="25" t="n">
        <f aca="false">E13+D13</f>
        <v>46154</v>
      </c>
      <c r="G13" s="26" t="s">
        <v>36</v>
      </c>
      <c r="H13" s="27" t="n">
        <v>46154</v>
      </c>
      <c r="J13" s="28"/>
      <c r="K13" s="28"/>
      <c r="AC13" s="29"/>
    </row>
    <row r="14" customFormat="false" ht="14.25" hidden="false" customHeight="true" outlineLevel="0" collapsed="false">
      <c r="A14" s="21" t="s">
        <v>41</v>
      </c>
      <c r="B14" s="22" t="s">
        <v>42</v>
      </c>
      <c r="C14" s="23" t="s">
        <v>39</v>
      </c>
      <c r="D14" s="24" t="n">
        <v>7</v>
      </c>
      <c r="E14" s="25" t="n">
        <f aca="false">INDEX($F$11:$F$102,MATCH($C14,$A$11:$A$102,0))</f>
        <v>46154</v>
      </c>
      <c r="F14" s="25" t="n">
        <f aca="false">E14+D14</f>
        <v>46161</v>
      </c>
      <c r="G14" s="26" t="s">
        <v>36</v>
      </c>
      <c r="H14" s="27" t="n">
        <v>46161</v>
      </c>
      <c r="K14" s="28"/>
      <c r="L14" s="28"/>
      <c r="AC14" s="29"/>
    </row>
    <row r="15" customFormat="false" ht="14.25" hidden="false" customHeight="true" outlineLevel="0" collapsed="false">
      <c r="A15" s="21" t="s">
        <v>43</v>
      </c>
      <c r="B15" s="22" t="s">
        <v>44</v>
      </c>
      <c r="C15" s="23" t="s">
        <v>41</v>
      </c>
      <c r="D15" s="24" t="n">
        <v>7</v>
      </c>
      <c r="E15" s="25" t="n">
        <f aca="false">INDEX($F$11:$F$102,MATCH($C15,$A$11:$A$102,0))</f>
        <v>46161</v>
      </c>
      <c r="F15" s="25" t="n">
        <f aca="false">E15+D15</f>
        <v>46168</v>
      </c>
      <c r="G15" s="26" t="s">
        <v>36</v>
      </c>
      <c r="H15" s="27" t="n">
        <v>46168</v>
      </c>
      <c r="L15" s="28"/>
      <c r="M15" s="28"/>
      <c r="AC15" s="29"/>
    </row>
    <row r="16" customFormat="false" ht="14.25" hidden="false" customHeight="true" outlineLevel="0" collapsed="false">
      <c r="A16" s="21" t="s">
        <v>45</v>
      </c>
      <c r="B16" s="22" t="s">
        <v>46</v>
      </c>
      <c r="C16" s="23" t="s">
        <v>43</v>
      </c>
      <c r="D16" s="24" t="n">
        <v>1</v>
      </c>
      <c r="E16" s="25" t="n">
        <f aca="false">INDEX($F$11:$F$102,MATCH($C16,$A$11:$A$102,0))</f>
        <v>46168</v>
      </c>
      <c r="F16" s="25" t="n">
        <f aca="false">E16+D16</f>
        <v>46169</v>
      </c>
      <c r="G16" s="26" t="s">
        <v>36</v>
      </c>
      <c r="H16" s="27" t="n">
        <v>46169</v>
      </c>
      <c r="M16" s="28"/>
      <c r="AC16" s="29"/>
    </row>
    <row r="17" customFormat="false" ht="14.25" hidden="false" customHeight="true" outlineLevel="0" collapsed="false">
      <c r="A17" s="21" t="s">
        <v>47</v>
      </c>
      <c r="B17" s="22" t="s">
        <v>48</v>
      </c>
      <c r="C17" s="23" t="s">
        <v>45</v>
      </c>
      <c r="D17" s="24" t="n">
        <v>1</v>
      </c>
      <c r="E17" s="25" t="n">
        <f aca="false">INDEX($F$11:$F$102,MATCH($C17,$A$11:$A$102,0))</f>
        <v>46169</v>
      </c>
      <c r="F17" s="25" t="n">
        <f aca="false">E17+D17</f>
        <v>46170</v>
      </c>
      <c r="G17" s="26" t="s">
        <v>36</v>
      </c>
      <c r="H17" s="27" t="n">
        <v>46170</v>
      </c>
      <c r="M17" s="28"/>
      <c r="AC17" s="29"/>
    </row>
    <row r="18" customFormat="false" ht="14.25" hidden="false" customHeight="true" outlineLevel="0" collapsed="false">
      <c r="A18" s="17" t="s">
        <v>49</v>
      </c>
      <c r="B18" s="18"/>
      <c r="C18" s="18"/>
      <c r="D18" s="18"/>
      <c r="E18" s="18"/>
      <c r="F18" s="18"/>
      <c r="G18" s="19"/>
      <c r="H18" s="19"/>
      <c r="I18" s="18"/>
      <c r="J18" s="20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20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</row>
    <row r="19" customFormat="false" ht="14.25" hidden="false" customHeight="true" outlineLevel="0" collapsed="false">
      <c r="A19" s="21" t="s">
        <v>50</v>
      </c>
      <c r="B19" s="22" t="s">
        <v>51</v>
      </c>
      <c r="C19" s="23" t="s">
        <v>47</v>
      </c>
      <c r="D19" s="24" t="n">
        <v>2</v>
      </c>
      <c r="E19" s="25" t="n">
        <f aca="false">INDEX($F$11:$F$102,MATCH($C19,$A$11:$A$102,0))</f>
        <v>46170</v>
      </c>
      <c r="F19" s="25" t="n">
        <f aca="false">E19+D19</f>
        <v>46172</v>
      </c>
      <c r="G19" s="26" t="s">
        <v>36</v>
      </c>
      <c r="H19" s="27" t="n">
        <v>46172</v>
      </c>
      <c r="M19" s="28"/>
      <c r="AC19" s="29"/>
    </row>
    <row r="20" customFormat="false" ht="14.25" hidden="false" customHeight="true" outlineLevel="0" collapsed="false">
      <c r="A20" s="21" t="s">
        <v>52</v>
      </c>
      <c r="B20" s="22" t="s">
        <v>53</v>
      </c>
      <c r="C20" s="23" t="s">
        <v>50</v>
      </c>
      <c r="D20" s="24" t="n">
        <v>4</v>
      </c>
      <c r="E20" s="25" t="n">
        <f aca="false">INDEX($F$11:$F$102,MATCH($C20,$A$11:$A$102,0))</f>
        <v>46172</v>
      </c>
      <c r="F20" s="25" t="n">
        <f aca="false">E20+D20</f>
        <v>46176</v>
      </c>
      <c r="G20" s="26" t="s">
        <v>36</v>
      </c>
      <c r="H20" s="27" t="n">
        <v>46176</v>
      </c>
      <c r="M20" s="28"/>
      <c r="N20" s="28"/>
      <c r="AC20" s="29"/>
    </row>
    <row r="21" customFormat="false" ht="14.25" hidden="false" customHeight="true" outlineLevel="0" collapsed="false">
      <c r="A21" s="21" t="s">
        <v>54</v>
      </c>
      <c r="B21" s="22" t="s">
        <v>55</v>
      </c>
      <c r="C21" s="23" t="s">
        <v>52</v>
      </c>
      <c r="D21" s="24" t="n">
        <v>2</v>
      </c>
      <c r="E21" s="25" t="n">
        <f aca="false">INDEX($F$11:$F$102,MATCH($C21,$A$11:$A$102,0))</f>
        <v>46176</v>
      </c>
      <c r="F21" s="25" t="n">
        <f aca="false">E21+D21</f>
        <v>46178</v>
      </c>
      <c r="G21" s="26" t="s">
        <v>36</v>
      </c>
      <c r="H21" s="27" t="n">
        <v>46178</v>
      </c>
      <c r="N21" s="28"/>
      <c r="AC21" s="29"/>
    </row>
    <row r="22" customFormat="false" ht="14.25" hidden="false" customHeight="true" outlineLevel="0" collapsed="false">
      <c r="A22" s="21" t="s">
        <v>56</v>
      </c>
      <c r="B22" s="22" t="s">
        <v>57</v>
      </c>
      <c r="C22" s="23" t="s">
        <v>54</v>
      </c>
      <c r="D22" s="24" t="n">
        <v>4</v>
      </c>
      <c r="E22" s="25" t="n">
        <f aca="false">INDEX($F$11:$F$102,MATCH($C22,$A$11:$A$102,0))</f>
        <v>46178</v>
      </c>
      <c r="F22" s="25" t="n">
        <f aca="false">E22+D22</f>
        <v>46182</v>
      </c>
      <c r="G22" s="26" t="s">
        <v>36</v>
      </c>
      <c r="H22" s="27" t="n">
        <v>46182</v>
      </c>
      <c r="N22" s="28"/>
      <c r="O22" s="28"/>
      <c r="AC22" s="29"/>
    </row>
    <row r="23" customFormat="false" ht="14.25" hidden="false" customHeight="true" outlineLevel="0" collapsed="false">
      <c r="A23" s="21" t="s">
        <v>58</v>
      </c>
      <c r="B23" s="22" t="s">
        <v>59</v>
      </c>
      <c r="C23" s="23" t="s">
        <v>56</v>
      </c>
      <c r="D23" s="24" t="n">
        <v>4</v>
      </c>
      <c r="E23" s="25" t="n">
        <f aca="false">INDEX($F$11:$F$102,MATCH($C23,$A$11:$A$102,0))</f>
        <v>46182</v>
      </c>
      <c r="F23" s="25" t="n">
        <f aca="false">E23+D23</f>
        <v>46186</v>
      </c>
      <c r="G23" s="26" t="s">
        <v>36</v>
      </c>
      <c r="H23" s="27" t="n">
        <v>46186</v>
      </c>
      <c r="O23" s="28"/>
      <c r="AC23" s="29"/>
    </row>
    <row r="24" customFormat="false" ht="14.25" hidden="false" customHeight="true" outlineLevel="0" collapsed="false">
      <c r="A24" s="21" t="s">
        <v>60</v>
      </c>
      <c r="B24" s="22" t="s">
        <v>61</v>
      </c>
      <c r="C24" s="23" t="s">
        <v>58</v>
      </c>
      <c r="D24" s="24" t="n">
        <v>6</v>
      </c>
      <c r="E24" s="25" t="n">
        <f aca="false">INDEX($F$11:$F$102,MATCH($C24,$A$11:$A$102,0))</f>
        <v>46186</v>
      </c>
      <c r="F24" s="25" t="n">
        <f aca="false">E24+D24</f>
        <v>46192</v>
      </c>
      <c r="G24" s="26" t="s">
        <v>36</v>
      </c>
      <c r="H24" s="27" t="n">
        <v>46192</v>
      </c>
      <c r="O24" s="28"/>
      <c r="P24" s="28"/>
      <c r="AC24" s="29"/>
    </row>
    <row r="25" customFormat="false" ht="14.25" hidden="false" customHeight="true" outlineLevel="0" collapsed="false">
      <c r="A25" s="21" t="s">
        <v>62</v>
      </c>
      <c r="B25" s="22" t="s">
        <v>63</v>
      </c>
      <c r="C25" s="23" t="s">
        <v>60</v>
      </c>
      <c r="D25" s="24" t="n">
        <v>7</v>
      </c>
      <c r="E25" s="25" t="n">
        <f aca="false">INDEX($F$11:$F$102,MATCH($C25,$A$11:$A$102,0))</f>
        <v>46192</v>
      </c>
      <c r="F25" s="25" t="n">
        <f aca="false">E25+D25</f>
        <v>46199</v>
      </c>
      <c r="G25" s="26" t="s">
        <v>36</v>
      </c>
      <c r="H25" s="27" t="n">
        <v>46199</v>
      </c>
      <c r="P25" s="28"/>
      <c r="Q25" s="28"/>
      <c r="AC25" s="29"/>
    </row>
    <row r="26" customFormat="false" ht="14.25" hidden="false" customHeight="true" outlineLevel="0" collapsed="false">
      <c r="A26" s="21" t="s">
        <v>64</v>
      </c>
      <c r="B26" s="22" t="s">
        <v>65</v>
      </c>
      <c r="C26" s="23" t="s">
        <v>62</v>
      </c>
      <c r="D26" s="24" t="n">
        <v>5</v>
      </c>
      <c r="E26" s="25" t="n">
        <f aca="false">INDEX($F$11:$F$102,MATCH($C26,$A$11:$A$102,0))</f>
        <v>46199</v>
      </c>
      <c r="F26" s="25" t="n">
        <f aca="false">E26+D26</f>
        <v>46204</v>
      </c>
      <c r="G26" s="26" t="s">
        <v>36</v>
      </c>
      <c r="H26" s="27" t="n">
        <v>46204</v>
      </c>
      <c r="Q26" s="28"/>
      <c r="R26" s="28"/>
      <c r="AC26" s="29"/>
    </row>
    <row r="27" customFormat="false" ht="14.25" hidden="false" customHeight="true" outlineLevel="0" collapsed="false">
      <c r="A27" s="21" t="s">
        <v>66</v>
      </c>
      <c r="B27" s="22" t="s">
        <v>46</v>
      </c>
      <c r="C27" s="23" t="s">
        <v>64</v>
      </c>
      <c r="D27" s="24" t="n">
        <v>1</v>
      </c>
      <c r="E27" s="25" t="n">
        <f aca="false">INDEX($F$11:$F$102,MATCH($C27,$A$11:$A$102,0))</f>
        <v>46204</v>
      </c>
      <c r="F27" s="25" t="n">
        <f aca="false">E27+D27</f>
        <v>46205</v>
      </c>
      <c r="G27" s="26" t="s">
        <v>36</v>
      </c>
      <c r="H27" s="27" t="n">
        <v>46205</v>
      </c>
      <c r="R27" s="28"/>
      <c r="AC27" s="29"/>
    </row>
    <row r="28" customFormat="false" ht="14.25" hidden="false" customHeight="true" outlineLevel="0" collapsed="false">
      <c r="A28" s="21" t="s">
        <v>67</v>
      </c>
      <c r="B28" s="22" t="s">
        <v>68</v>
      </c>
      <c r="C28" s="23" t="s">
        <v>66</v>
      </c>
      <c r="D28" s="24" t="n">
        <v>2</v>
      </c>
      <c r="E28" s="25" t="n">
        <f aca="false">INDEX($F$11:$F$102,MATCH($C28,$A$11:$A$102,0))</f>
        <v>46205</v>
      </c>
      <c r="F28" s="25" t="n">
        <f aca="false">E28+D28</f>
        <v>46207</v>
      </c>
      <c r="G28" s="26" t="s">
        <v>36</v>
      </c>
      <c r="H28" s="27" t="n">
        <v>46207</v>
      </c>
      <c r="R28" s="28"/>
      <c r="AC28" s="29"/>
    </row>
    <row r="29" customFormat="false" ht="14.25" hidden="false" customHeight="true" outlineLevel="0" collapsed="false">
      <c r="A29" s="21" t="s">
        <v>69</v>
      </c>
      <c r="B29" s="22" t="s">
        <v>70</v>
      </c>
      <c r="C29" s="23" t="s">
        <v>67</v>
      </c>
      <c r="D29" s="24" t="n">
        <v>1</v>
      </c>
      <c r="E29" s="25" t="n">
        <f aca="false">INDEX($F$11:$F$102,MATCH($C29,$A$11:$A$102,0))</f>
        <v>46207</v>
      </c>
      <c r="F29" s="25" t="n">
        <f aca="false">E29+D29</f>
        <v>46208</v>
      </c>
      <c r="G29" s="26" t="s">
        <v>36</v>
      </c>
      <c r="H29" s="27" t="n">
        <v>46208</v>
      </c>
      <c r="R29" s="28"/>
      <c r="AC29" s="29"/>
    </row>
    <row r="30" customFormat="false" ht="14.25" hidden="false" customHeight="true" outlineLevel="0" collapsed="false">
      <c r="A30" s="21" t="s">
        <v>71</v>
      </c>
      <c r="B30" s="22" t="s">
        <v>72</v>
      </c>
      <c r="C30" s="23" t="s">
        <v>69</v>
      </c>
      <c r="D30" s="24" t="n">
        <v>4</v>
      </c>
      <c r="E30" s="25" t="n">
        <f aca="false">INDEX($F$11:$F$102,MATCH($C30,$A$11:$A$102,0))</f>
        <v>46208</v>
      </c>
      <c r="F30" s="25" t="n">
        <f aca="false">E30+D30</f>
        <v>46212</v>
      </c>
      <c r="G30" s="26" t="s">
        <v>36</v>
      </c>
      <c r="H30" s="27" t="n">
        <v>46212</v>
      </c>
      <c r="R30" s="28"/>
      <c r="S30" s="28"/>
      <c r="AC30" s="29"/>
    </row>
    <row r="31" customFormat="false" ht="14.25" hidden="false" customHeight="true" outlineLevel="0" collapsed="false">
      <c r="A31" s="21" t="s">
        <v>73</v>
      </c>
      <c r="B31" s="22" t="s">
        <v>74</v>
      </c>
      <c r="C31" s="23" t="s">
        <v>71</v>
      </c>
      <c r="D31" s="24" t="n">
        <v>6</v>
      </c>
      <c r="E31" s="25" t="n">
        <f aca="false">INDEX($F$11:$F$102,MATCH($C31,$A$11:$A$102,0))</f>
        <v>46212</v>
      </c>
      <c r="F31" s="25" t="n">
        <f aca="false">E31+D31</f>
        <v>46218</v>
      </c>
      <c r="G31" s="26" t="s">
        <v>36</v>
      </c>
      <c r="H31" s="27" t="n">
        <v>46218</v>
      </c>
      <c r="S31" s="28"/>
      <c r="T31" s="28"/>
      <c r="AC31" s="29"/>
    </row>
    <row r="32" customFormat="false" ht="14.25" hidden="false" customHeight="true" outlineLevel="0" collapsed="false">
      <c r="A32" s="21" t="s">
        <v>75</v>
      </c>
      <c r="B32" s="22" t="s">
        <v>76</v>
      </c>
      <c r="C32" s="23" t="s">
        <v>73</v>
      </c>
      <c r="D32" s="24" t="n">
        <v>2</v>
      </c>
      <c r="E32" s="25" t="n">
        <f aca="false">INDEX($F$11:$F$102,MATCH($C32,$A$11:$A$102,0))</f>
        <v>46218</v>
      </c>
      <c r="F32" s="25" t="n">
        <f aca="false">E32+D32</f>
        <v>46220</v>
      </c>
      <c r="G32" s="26" t="s">
        <v>36</v>
      </c>
      <c r="H32" s="27" t="n">
        <v>46220</v>
      </c>
      <c r="T32" s="28"/>
      <c r="AC32" s="29"/>
    </row>
    <row r="33" customFormat="false" ht="14.25" hidden="false" customHeight="true" outlineLevel="0" collapsed="false">
      <c r="A33" s="17" t="s">
        <v>77</v>
      </c>
      <c r="B33" s="18"/>
      <c r="C33" s="18"/>
      <c r="D33" s="18"/>
      <c r="E33" s="18"/>
      <c r="F33" s="18"/>
      <c r="G33" s="19"/>
      <c r="H33" s="19"/>
      <c r="I33" s="18"/>
      <c r="J33" s="20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20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</row>
    <row r="34" customFormat="false" ht="14.25" hidden="false" customHeight="true" outlineLevel="0" collapsed="false">
      <c r="A34" s="21" t="s">
        <v>78</v>
      </c>
      <c r="B34" s="22" t="s">
        <v>79</v>
      </c>
      <c r="C34" s="23" t="s">
        <v>75</v>
      </c>
      <c r="D34" s="24" t="n">
        <v>2</v>
      </c>
      <c r="E34" s="25" t="n">
        <f aca="false">INDEX($F$11:$F$102,MATCH($C34,$A$11:$A$102,0))</f>
        <v>46220</v>
      </c>
      <c r="F34" s="25" t="n">
        <f aca="false">E34+D34</f>
        <v>46222</v>
      </c>
      <c r="G34" s="26" t="s">
        <v>36</v>
      </c>
      <c r="H34" s="27" t="n">
        <v>46222</v>
      </c>
      <c r="T34" s="28"/>
      <c r="AC34" s="29"/>
    </row>
    <row r="35" customFormat="false" ht="14.25" hidden="false" customHeight="true" outlineLevel="0" collapsed="false">
      <c r="A35" s="21" t="s">
        <v>80</v>
      </c>
      <c r="B35" s="22" t="s">
        <v>81</v>
      </c>
      <c r="C35" s="23" t="s">
        <v>78</v>
      </c>
      <c r="D35" s="24" t="n">
        <v>4</v>
      </c>
      <c r="E35" s="25" t="n">
        <f aca="false">INDEX($F$11:$F$102,MATCH($C35,$A$11:$A$102,0))</f>
        <v>46222</v>
      </c>
      <c r="F35" s="25" t="n">
        <f aca="false">E35+D35</f>
        <v>46226</v>
      </c>
      <c r="G35" s="26" t="s">
        <v>36</v>
      </c>
      <c r="H35" s="27" t="n">
        <v>46226</v>
      </c>
      <c r="T35" s="28"/>
      <c r="U35" s="28"/>
      <c r="AC35" s="29"/>
    </row>
    <row r="36" customFormat="false" ht="14.25" hidden="false" customHeight="true" outlineLevel="0" collapsed="false">
      <c r="A36" s="21" t="s">
        <v>82</v>
      </c>
      <c r="B36" s="22" t="s">
        <v>83</v>
      </c>
      <c r="C36" s="23" t="s">
        <v>80</v>
      </c>
      <c r="D36" s="24" t="n">
        <v>5</v>
      </c>
      <c r="E36" s="25" t="n">
        <f aca="false">INDEX($F$11:$F$102,MATCH($C36,$A$11:$A$102,0))</f>
        <v>46226</v>
      </c>
      <c r="F36" s="25" t="n">
        <f aca="false">E36+D36</f>
        <v>46231</v>
      </c>
      <c r="G36" s="26" t="s">
        <v>36</v>
      </c>
      <c r="H36" s="27" t="n">
        <v>46231</v>
      </c>
      <c r="U36" s="28"/>
      <c r="V36" s="28"/>
      <c r="AC36" s="29"/>
    </row>
    <row r="37" customFormat="false" ht="14.25" hidden="false" customHeight="true" outlineLevel="0" collapsed="false">
      <c r="A37" s="21" t="s">
        <v>84</v>
      </c>
      <c r="B37" s="22" t="s">
        <v>85</v>
      </c>
      <c r="C37" s="23" t="s">
        <v>82</v>
      </c>
      <c r="D37" s="24" t="n">
        <v>3</v>
      </c>
      <c r="E37" s="25" t="n">
        <f aca="false">INDEX($F$11:$F$102,MATCH($C37,$A$11:$A$102,0))</f>
        <v>46231</v>
      </c>
      <c r="F37" s="25" t="n">
        <f aca="false">E37+D37</f>
        <v>46234</v>
      </c>
      <c r="G37" s="26" t="s">
        <v>36</v>
      </c>
      <c r="H37" s="27" t="n">
        <v>46234</v>
      </c>
      <c r="V37" s="28"/>
      <c r="AC37" s="29"/>
    </row>
    <row r="38" customFormat="false" ht="14.25" hidden="false" customHeight="true" outlineLevel="0" collapsed="false">
      <c r="A38" s="21" t="s">
        <v>86</v>
      </c>
      <c r="B38" s="22" t="s">
        <v>87</v>
      </c>
      <c r="C38" s="23" t="s">
        <v>84</v>
      </c>
      <c r="D38" s="24" t="n">
        <v>15</v>
      </c>
      <c r="E38" s="25" t="n">
        <f aca="false">INDEX($F$11:$F$102,MATCH($C38,$A$11:$A$102,0))</f>
        <v>46234</v>
      </c>
      <c r="F38" s="25" t="n">
        <f aca="false">E38+D38</f>
        <v>46249</v>
      </c>
      <c r="G38" s="26" t="s">
        <v>36</v>
      </c>
      <c r="H38" s="27" t="n">
        <v>46249</v>
      </c>
      <c r="V38" s="28"/>
      <c r="W38" s="28"/>
      <c r="X38" s="28"/>
      <c r="AC38" s="29"/>
    </row>
    <row r="39" customFormat="false" ht="14.25" hidden="false" customHeight="true" outlineLevel="0" collapsed="false">
      <c r="A39" s="21" t="s">
        <v>88</v>
      </c>
      <c r="B39" s="22" t="s">
        <v>89</v>
      </c>
      <c r="C39" s="23" t="s">
        <v>86</v>
      </c>
      <c r="D39" s="24" t="n">
        <v>10</v>
      </c>
      <c r="E39" s="25" t="n">
        <f aca="false">INDEX($F$11:$F$102,MATCH($C39,$A$11:$A$102,0))</f>
        <v>46249</v>
      </c>
      <c r="F39" s="25" t="n">
        <f aca="false">E39+D39</f>
        <v>46259</v>
      </c>
      <c r="G39" s="26" t="s">
        <v>36</v>
      </c>
      <c r="H39" s="27" t="n">
        <v>46259</v>
      </c>
      <c r="X39" s="28"/>
      <c r="Y39" s="28"/>
      <c r="Z39" s="28"/>
      <c r="AC39" s="29"/>
    </row>
    <row r="40" customFormat="false" ht="14.25" hidden="false" customHeight="true" outlineLevel="0" collapsed="false">
      <c r="A40" s="21" t="s">
        <v>90</v>
      </c>
      <c r="B40" s="22" t="s">
        <v>91</v>
      </c>
      <c r="C40" s="23" t="s">
        <v>88</v>
      </c>
      <c r="D40" s="24" t="n">
        <v>2</v>
      </c>
      <c r="E40" s="25" t="n">
        <f aca="false">INDEX($F$11:$F$102,MATCH($C40,$A$11:$A$102,0))</f>
        <v>46259</v>
      </c>
      <c r="F40" s="25" t="n">
        <f aca="false">E40+D40</f>
        <v>46261</v>
      </c>
      <c r="G40" s="26" t="s">
        <v>36</v>
      </c>
      <c r="H40" s="27" t="n">
        <v>46261</v>
      </c>
      <c r="Z40" s="28"/>
      <c r="AC40" s="29"/>
    </row>
    <row r="41" customFormat="false" ht="14.25" hidden="false" customHeight="true" outlineLevel="0" collapsed="false">
      <c r="A41" s="21" t="s">
        <v>92</v>
      </c>
      <c r="B41" s="22" t="s">
        <v>46</v>
      </c>
      <c r="C41" s="23" t="s">
        <v>90</v>
      </c>
      <c r="D41" s="24" t="n">
        <v>1</v>
      </c>
      <c r="E41" s="25" t="n">
        <f aca="false">INDEX($F$11:$F$102,MATCH($C41,$A$11:$A$102,0))</f>
        <v>46261</v>
      </c>
      <c r="F41" s="25" t="n">
        <f aca="false">E41+D41</f>
        <v>46262</v>
      </c>
      <c r="G41" s="26" t="s">
        <v>36</v>
      </c>
      <c r="H41" s="27" t="n">
        <v>46262</v>
      </c>
      <c r="Z41" s="28"/>
      <c r="AC41" s="29"/>
    </row>
    <row r="42" customFormat="false" ht="14.25" hidden="false" customHeight="true" outlineLevel="0" collapsed="false">
      <c r="A42" s="21" t="s">
        <v>93</v>
      </c>
      <c r="B42" s="22" t="s">
        <v>94</v>
      </c>
      <c r="C42" s="23" t="s">
        <v>92</v>
      </c>
      <c r="D42" s="24" t="n">
        <v>1</v>
      </c>
      <c r="E42" s="25" t="n">
        <f aca="false">INDEX($F$11:$F$102,MATCH($C42,$A$11:$A$102,0))</f>
        <v>46262</v>
      </c>
      <c r="F42" s="25" t="n">
        <f aca="false">E42+D42</f>
        <v>46263</v>
      </c>
      <c r="G42" s="26" t="s">
        <v>36</v>
      </c>
      <c r="H42" s="27" t="n">
        <v>46263</v>
      </c>
      <c r="Z42" s="28"/>
      <c r="AC42" s="29"/>
    </row>
    <row r="43" customFormat="false" ht="14.25" hidden="false" customHeight="true" outlineLevel="0" collapsed="false">
      <c r="A43" s="17" t="s">
        <v>95</v>
      </c>
      <c r="B43" s="18"/>
      <c r="C43" s="18"/>
      <c r="D43" s="18"/>
      <c r="E43" s="18"/>
      <c r="F43" s="18"/>
      <c r="G43" s="19"/>
      <c r="H43" s="19"/>
      <c r="I43" s="18"/>
      <c r="J43" s="20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20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</row>
    <row r="44" customFormat="false" ht="14.25" hidden="false" customHeight="true" outlineLevel="0" collapsed="false">
      <c r="A44" s="21" t="s">
        <v>96</v>
      </c>
      <c r="B44" s="22" t="s">
        <v>79</v>
      </c>
      <c r="C44" s="23" t="s">
        <v>93</v>
      </c>
      <c r="D44" s="24" t="n">
        <v>2</v>
      </c>
      <c r="E44" s="25" t="n">
        <f aca="false">INDEX($F$11:$F$102,MATCH($C44,$A$11:$A$102,0))</f>
        <v>46263</v>
      </c>
      <c r="F44" s="25" t="n">
        <f aca="false">E44+D44</f>
        <v>46265</v>
      </c>
      <c r="G44" s="26" t="s">
        <v>36</v>
      </c>
      <c r="H44" s="27" t="n">
        <v>46265</v>
      </c>
      <c r="Z44" s="28"/>
      <c r="AA44" s="28"/>
      <c r="AC44" s="29"/>
    </row>
    <row r="45" customFormat="false" ht="14.25" hidden="false" customHeight="true" outlineLevel="0" collapsed="false">
      <c r="A45" s="21" t="s">
        <v>97</v>
      </c>
      <c r="B45" s="22" t="s">
        <v>81</v>
      </c>
      <c r="C45" s="23" t="s">
        <v>96</v>
      </c>
      <c r="D45" s="24" t="n">
        <v>4</v>
      </c>
      <c r="E45" s="25" t="n">
        <f aca="false">INDEX($F$11:$F$102,MATCH($C45,$A$11:$A$102,0))</f>
        <v>46265</v>
      </c>
      <c r="F45" s="25" t="n">
        <f aca="false">E45+D45</f>
        <v>46269</v>
      </c>
      <c r="G45" s="26" t="s">
        <v>36</v>
      </c>
      <c r="H45" s="27" t="n">
        <v>46269</v>
      </c>
      <c r="AA45" s="28"/>
      <c r="AC45" s="29"/>
    </row>
    <row r="46" customFormat="false" ht="14.25" hidden="false" customHeight="true" outlineLevel="0" collapsed="false">
      <c r="A46" s="21" t="s">
        <v>98</v>
      </c>
      <c r="B46" s="22" t="s">
        <v>83</v>
      </c>
      <c r="C46" s="23" t="s">
        <v>97</v>
      </c>
      <c r="D46" s="24" t="n">
        <v>5</v>
      </c>
      <c r="E46" s="25" t="n">
        <f aca="false">INDEX($F$11:$F$102,MATCH($C46,$A$11:$A$102,0))</f>
        <v>46269</v>
      </c>
      <c r="F46" s="25" t="n">
        <f aca="false">E46+D46</f>
        <v>46274</v>
      </c>
      <c r="G46" s="26" t="s">
        <v>36</v>
      </c>
      <c r="H46" s="27" t="n">
        <v>46274</v>
      </c>
      <c r="AA46" s="28"/>
      <c r="AB46" s="28"/>
      <c r="AC46" s="29"/>
    </row>
    <row r="47" customFormat="false" ht="14.25" hidden="false" customHeight="true" outlineLevel="0" collapsed="false">
      <c r="A47" s="21" t="s">
        <v>99</v>
      </c>
      <c r="B47" s="22" t="s">
        <v>85</v>
      </c>
      <c r="C47" s="23" t="s">
        <v>98</v>
      </c>
      <c r="D47" s="24" t="n">
        <v>3</v>
      </c>
      <c r="E47" s="25" t="n">
        <f aca="false">INDEX($F$11:$F$102,MATCH($C47,$A$11:$A$102,0))</f>
        <v>46274</v>
      </c>
      <c r="F47" s="25" t="n">
        <f aca="false">E47+D47</f>
        <v>46277</v>
      </c>
      <c r="G47" s="26" t="s">
        <v>36</v>
      </c>
      <c r="H47" s="27" t="n">
        <v>46277</v>
      </c>
      <c r="AB47" s="28"/>
      <c r="AC47" s="29"/>
    </row>
    <row r="48" customFormat="false" ht="14.25" hidden="false" customHeight="true" outlineLevel="0" collapsed="false">
      <c r="A48" s="21" t="s">
        <v>100</v>
      </c>
      <c r="B48" s="22" t="s">
        <v>87</v>
      </c>
      <c r="C48" s="23" t="s">
        <v>99</v>
      </c>
      <c r="D48" s="24" t="n">
        <v>15</v>
      </c>
      <c r="E48" s="25" t="n">
        <f aca="false">INDEX($F$11:$F$102,MATCH($C48,$A$11:$A$102,0))</f>
        <v>46277</v>
      </c>
      <c r="F48" s="25" t="n">
        <f aca="false">E48+D48</f>
        <v>46292</v>
      </c>
      <c r="G48" s="26" t="s">
        <v>101</v>
      </c>
      <c r="H48" s="27"/>
      <c r="AB48" s="30"/>
      <c r="AC48" s="31"/>
      <c r="AD48" s="30"/>
    </row>
    <row r="49" customFormat="false" ht="14.25" hidden="false" customHeight="true" outlineLevel="0" collapsed="false">
      <c r="A49" s="21" t="s">
        <v>102</v>
      </c>
      <c r="B49" s="22" t="s">
        <v>89</v>
      </c>
      <c r="C49" s="23" t="s">
        <v>100</v>
      </c>
      <c r="D49" s="24" t="n">
        <v>10</v>
      </c>
      <c r="E49" s="25" t="n">
        <f aca="false">INDEX($F$11:$F$102,MATCH($C49,$A$11:$A$102,0))</f>
        <v>46292</v>
      </c>
      <c r="F49" s="25" t="n">
        <f aca="false">E49+D49</f>
        <v>46302</v>
      </c>
      <c r="G49" s="26" t="s">
        <v>103</v>
      </c>
      <c r="H49" s="27"/>
      <c r="AC49" s="29"/>
      <c r="AD49" s="30"/>
      <c r="AE49" s="30"/>
      <c r="AF49" s="30"/>
    </row>
    <row r="50" customFormat="false" ht="14.25" hidden="false" customHeight="true" outlineLevel="0" collapsed="false">
      <c r="A50" s="21" t="s">
        <v>104</v>
      </c>
      <c r="B50" s="22" t="s">
        <v>91</v>
      </c>
      <c r="C50" s="23" t="s">
        <v>102</v>
      </c>
      <c r="D50" s="24" t="n">
        <v>2</v>
      </c>
      <c r="E50" s="25" t="n">
        <f aca="false">INDEX($F$11:$F$102,MATCH($C50,$A$11:$A$102,0))</f>
        <v>46302</v>
      </c>
      <c r="F50" s="25" t="n">
        <f aca="false">E50+D50</f>
        <v>46304</v>
      </c>
      <c r="G50" s="26" t="s">
        <v>103</v>
      </c>
      <c r="H50" s="27"/>
      <c r="AC50" s="29"/>
      <c r="AF50" s="30"/>
    </row>
    <row r="51" customFormat="false" ht="14.25" hidden="false" customHeight="true" outlineLevel="0" collapsed="false">
      <c r="A51" s="21" t="s">
        <v>105</v>
      </c>
      <c r="B51" s="22" t="s">
        <v>46</v>
      </c>
      <c r="C51" s="23" t="s">
        <v>104</v>
      </c>
      <c r="D51" s="24" t="n">
        <v>1</v>
      </c>
      <c r="E51" s="25" t="n">
        <f aca="false">INDEX($F$11:$F$102,MATCH($C51,$A$11:$A$102,0))</f>
        <v>46304</v>
      </c>
      <c r="F51" s="25" t="n">
        <f aca="false">E51+D51</f>
        <v>46305</v>
      </c>
      <c r="G51" s="26" t="s">
        <v>103</v>
      </c>
      <c r="H51" s="27"/>
      <c r="AC51" s="29"/>
      <c r="AF51" s="30"/>
    </row>
    <row r="52" customFormat="false" ht="14.25" hidden="false" customHeight="true" outlineLevel="0" collapsed="false">
      <c r="A52" s="21" t="s">
        <v>106</v>
      </c>
      <c r="B52" s="22" t="s">
        <v>94</v>
      </c>
      <c r="C52" s="23" t="s">
        <v>105</v>
      </c>
      <c r="D52" s="24" t="n">
        <v>1</v>
      </c>
      <c r="E52" s="25" t="n">
        <f aca="false">INDEX($F$11:$F$102,MATCH($C52,$A$11:$A$102,0))</f>
        <v>46305</v>
      </c>
      <c r="F52" s="25" t="n">
        <f aca="false">E52+D52</f>
        <v>46306</v>
      </c>
      <c r="G52" s="26" t="s">
        <v>103</v>
      </c>
      <c r="H52" s="27"/>
      <c r="AC52" s="29"/>
      <c r="AF52" s="30"/>
    </row>
    <row r="53" customFormat="false" ht="14.25" hidden="false" customHeight="true" outlineLevel="0" collapsed="false">
      <c r="A53" s="17" t="s">
        <v>107</v>
      </c>
      <c r="B53" s="18"/>
      <c r="C53" s="18"/>
      <c r="D53" s="18"/>
      <c r="E53" s="18"/>
      <c r="F53" s="18"/>
      <c r="G53" s="19"/>
      <c r="H53" s="19"/>
      <c r="I53" s="18"/>
      <c r="J53" s="20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20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</row>
    <row r="54" customFormat="false" ht="14.25" hidden="false" customHeight="true" outlineLevel="0" collapsed="false">
      <c r="A54" s="21" t="s">
        <v>108</v>
      </c>
      <c r="B54" s="22" t="s">
        <v>79</v>
      </c>
      <c r="C54" s="23" t="s">
        <v>106</v>
      </c>
      <c r="D54" s="24" t="n">
        <v>2</v>
      </c>
      <c r="E54" s="25" t="n">
        <f aca="false">INDEX($F$11:$F$102,MATCH($C54,$A$11:$A$102,0))</f>
        <v>46306</v>
      </c>
      <c r="F54" s="25" t="n">
        <f aca="false">E54+D54</f>
        <v>46308</v>
      </c>
      <c r="G54" s="26" t="s">
        <v>103</v>
      </c>
      <c r="H54" s="27"/>
      <c r="AC54" s="29"/>
      <c r="AF54" s="30"/>
      <c r="AG54" s="30"/>
    </row>
    <row r="55" customFormat="false" ht="14.25" hidden="false" customHeight="true" outlineLevel="0" collapsed="false">
      <c r="A55" s="21" t="s">
        <v>109</v>
      </c>
      <c r="B55" s="22" t="s">
        <v>81</v>
      </c>
      <c r="C55" s="23" t="s">
        <v>108</v>
      </c>
      <c r="D55" s="24" t="n">
        <v>4</v>
      </c>
      <c r="E55" s="25" t="n">
        <f aca="false">INDEX($F$11:$F$102,MATCH($C55,$A$11:$A$102,0))</f>
        <v>46308</v>
      </c>
      <c r="F55" s="25" t="n">
        <f aca="false">E55+D55</f>
        <v>46312</v>
      </c>
      <c r="G55" s="26" t="s">
        <v>103</v>
      </c>
      <c r="H55" s="27"/>
      <c r="AC55" s="29"/>
      <c r="AG55" s="30"/>
    </row>
    <row r="56" customFormat="false" ht="14.25" hidden="false" customHeight="true" outlineLevel="0" collapsed="false">
      <c r="A56" s="21" t="s">
        <v>110</v>
      </c>
      <c r="B56" s="22" t="s">
        <v>83</v>
      </c>
      <c r="C56" s="23" t="s">
        <v>109</v>
      </c>
      <c r="D56" s="24" t="n">
        <v>3</v>
      </c>
      <c r="E56" s="25" t="n">
        <f aca="false">INDEX($F$11:$F$102,MATCH($C56,$A$11:$A$102,0))</f>
        <v>46312</v>
      </c>
      <c r="F56" s="25" t="n">
        <f aca="false">E56+D56</f>
        <v>46315</v>
      </c>
      <c r="G56" s="26" t="s">
        <v>103</v>
      </c>
      <c r="H56" s="27"/>
      <c r="AC56" s="29"/>
      <c r="AG56" s="30"/>
      <c r="AH56" s="30"/>
    </row>
    <row r="57" customFormat="false" ht="14.25" hidden="false" customHeight="true" outlineLevel="0" collapsed="false">
      <c r="A57" s="21" t="s">
        <v>111</v>
      </c>
      <c r="B57" s="22" t="s">
        <v>85</v>
      </c>
      <c r="C57" s="23" t="s">
        <v>110</v>
      </c>
      <c r="D57" s="24" t="n">
        <v>4</v>
      </c>
      <c r="E57" s="25" t="n">
        <f aca="false">INDEX($F$11:$F$102,MATCH($C57,$A$11:$A$102,0))</f>
        <v>46315</v>
      </c>
      <c r="F57" s="25" t="n">
        <f aca="false">E57+D57</f>
        <v>46319</v>
      </c>
      <c r="G57" s="26" t="s">
        <v>103</v>
      </c>
      <c r="H57" s="27"/>
      <c r="AC57" s="29"/>
      <c r="AH57" s="30"/>
    </row>
    <row r="58" customFormat="false" ht="14.25" hidden="false" customHeight="true" outlineLevel="0" collapsed="false">
      <c r="A58" s="21" t="s">
        <v>112</v>
      </c>
      <c r="B58" s="22" t="s">
        <v>87</v>
      </c>
      <c r="C58" s="23" t="s">
        <v>111</v>
      </c>
      <c r="D58" s="24" t="n">
        <v>15</v>
      </c>
      <c r="E58" s="25" t="n">
        <f aca="false">INDEX($F$11:$F$102,MATCH($C58,$A$11:$A$102,0))</f>
        <v>46319</v>
      </c>
      <c r="F58" s="25" t="n">
        <f aca="false">E58+D58</f>
        <v>46334</v>
      </c>
      <c r="G58" s="26" t="s">
        <v>103</v>
      </c>
      <c r="H58" s="27"/>
      <c r="AC58" s="29"/>
      <c r="AH58" s="30"/>
      <c r="AI58" s="30"/>
      <c r="AJ58" s="30"/>
    </row>
    <row r="59" customFormat="false" ht="14.25" hidden="false" customHeight="true" outlineLevel="0" collapsed="false">
      <c r="A59" s="21" t="s">
        <v>113</v>
      </c>
      <c r="B59" s="22" t="s">
        <v>89</v>
      </c>
      <c r="C59" s="23" t="s">
        <v>112</v>
      </c>
      <c r="D59" s="24" t="n">
        <v>10</v>
      </c>
      <c r="E59" s="25" t="n">
        <f aca="false">INDEX($F$11:$F$102,MATCH($C59,$A$11:$A$102,0))</f>
        <v>46334</v>
      </c>
      <c r="F59" s="25" t="n">
        <f aca="false">E59+D59</f>
        <v>46344</v>
      </c>
      <c r="G59" s="26" t="s">
        <v>103</v>
      </c>
      <c r="H59" s="27"/>
      <c r="AC59" s="29"/>
      <c r="AJ59" s="30"/>
      <c r="AK59" s="30"/>
      <c r="AL59" s="30"/>
    </row>
    <row r="60" customFormat="false" ht="14.25" hidden="false" customHeight="true" outlineLevel="0" collapsed="false">
      <c r="A60" s="21" t="s">
        <v>114</v>
      </c>
      <c r="B60" s="22" t="s">
        <v>91</v>
      </c>
      <c r="C60" s="23" t="s">
        <v>113</v>
      </c>
      <c r="D60" s="24" t="n">
        <v>2</v>
      </c>
      <c r="E60" s="25" t="n">
        <f aca="false">INDEX($F$11:$F$102,MATCH($C60,$A$11:$A$102,0))</f>
        <v>46344</v>
      </c>
      <c r="F60" s="25" t="n">
        <f aca="false">E60+D60</f>
        <v>46346</v>
      </c>
      <c r="G60" s="26" t="s">
        <v>103</v>
      </c>
      <c r="H60" s="27"/>
      <c r="AC60" s="29"/>
      <c r="AL60" s="30"/>
    </row>
    <row r="61" customFormat="false" ht="14.25" hidden="false" customHeight="true" outlineLevel="0" collapsed="false">
      <c r="A61" s="21" t="s">
        <v>115</v>
      </c>
      <c r="B61" s="22" t="s">
        <v>46</v>
      </c>
      <c r="C61" s="23" t="s">
        <v>114</v>
      </c>
      <c r="D61" s="24" t="n">
        <v>1</v>
      </c>
      <c r="E61" s="25" t="n">
        <f aca="false">INDEX($F$11:$F$102,MATCH($C61,$A$11:$A$102,0))</f>
        <v>46346</v>
      </c>
      <c r="F61" s="25" t="n">
        <f aca="false">E61+D61</f>
        <v>46347</v>
      </c>
      <c r="G61" s="26" t="s">
        <v>103</v>
      </c>
      <c r="H61" s="27"/>
      <c r="AC61" s="29"/>
      <c r="AL61" s="30"/>
    </row>
    <row r="62" customFormat="false" ht="14.25" hidden="false" customHeight="true" outlineLevel="0" collapsed="false">
      <c r="A62" s="21" t="s">
        <v>116</v>
      </c>
      <c r="B62" s="22" t="s">
        <v>94</v>
      </c>
      <c r="C62" s="23" t="s">
        <v>115</v>
      </c>
      <c r="D62" s="24" t="n">
        <v>1</v>
      </c>
      <c r="E62" s="25" t="n">
        <f aca="false">INDEX($F$11:$F$102,MATCH($C62,$A$11:$A$102,0))</f>
        <v>46347</v>
      </c>
      <c r="F62" s="25" t="n">
        <f aca="false">E62+D62</f>
        <v>46348</v>
      </c>
      <c r="G62" s="26" t="s">
        <v>103</v>
      </c>
      <c r="H62" s="27"/>
      <c r="AC62" s="29"/>
      <c r="AL62" s="30"/>
    </row>
    <row r="63" customFormat="false" ht="14.25" hidden="false" customHeight="true" outlineLevel="0" collapsed="false">
      <c r="A63" s="17" t="s">
        <v>117</v>
      </c>
      <c r="B63" s="18"/>
      <c r="C63" s="18"/>
      <c r="D63" s="18"/>
      <c r="E63" s="18"/>
      <c r="F63" s="18"/>
      <c r="G63" s="19"/>
      <c r="H63" s="19"/>
      <c r="I63" s="18"/>
      <c r="J63" s="20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20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</row>
    <row r="64" customFormat="false" ht="14.25" hidden="false" customHeight="true" outlineLevel="0" collapsed="false">
      <c r="A64" s="21" t="s">
        <v>118</v>
      </c>
      <c r="B64" s="22" t="s">
        <v>79</v>
      </c>
      <c r="C64" s="23" t="s">
        <v>116</v>
      </c>
      <c r="D64" s="24" t="n">
        <v>2</v>
      </c>
      <c r="E64" s="25" t="n">
        <f aca="false">INDEX($F$11:$F$102,MATCH($C64,$A$11:$A$102,0))</f>
        <v>46348</v>
      </c>
      <c r="F64" s="25" t="n">
        <f aca="false">E64+D64</f>
        <v>46350</v>
      </c>
      <c r="G64" s="26" t="s">
        <v>103</v>
      </c>
      <c r="H64" s="27"/>
      <c r="AC64" s="29"/>
      <c r="AL64" s="30"/>
      <c r="AM64" s="30"/>
    </row>
    <row r="65" customFormat="false" ht="14.25" hidden="false" customHeight="true" outlineLevel="0" collapsed="false">
      <c r="A65" s="21" t="s">
        <v>119</v>
      </c>
      <c r="B65" s="22" t="s">
        <v>81</v>
      </c>
      <c r="C65" s="23" t="s">
        <v>118</v>
      </c>
      <c r="D65" s="24" t="n">
        <v>4</v>
      </c>
      <c r="E65" s="25" t="n">
        <f aca="false">INDEX($F$11:$F$102,MATCH($C65,$A$11:$A$102,0))</f>
        <v>46350</v>
      </c>
      <c r="F65" s="25" t="n">
        <f aca="false">E65+D65</f>
        <v>46354</v>
      </c>
      <c r="G65" s="26" t="s">
        <v>103</v>
      </c>
      <c r="H65" s="27"/>
      <c r="AC65" s="29"/>
      <c r="AM65" s="30"/>
    </row>
    <row r="66" customFormat="false" ht="14.25" hidden="false" customHeight="true" outlineLevel="0" collapsed="false">
      <c r="A66" s="21" t="s">
        <v>120</v>
      </c>
      <c r="B66" s="22" t="s">
        <v>83</v>
      </c>
      <c r="C66" s="23" t="s">
        <v>119</v>
      </c>
      <c r="D66" s="24" t="n">
        <v>3</v>
      </c>
      <c r="E66" s="25" t="n">
        <f aca="false">INDEX($F$11:$F$102,MATCH($C66,$A$11:$A$102,0))</f>
        <v>46354</v>
      </c>
      <c r="F66" s="25" t="n">
        <f aca="false">E66+D66</f>
        <v>46357</v>
      </c>
      <c r="G66" s="26" t="s">
        <v>103</v>
      </c>
      <c r="H66" s="27"/>
      <c r="AC66" s="29"/>
      <c r="AM66" s="30"/>
      <c r="AN66" s="30"/>
    </row>
    <row r="67" customFormat="false" ht="14.25" hidden="false" customHeight="true" outlineLevel="0" collapsed="false">
      <c r="A67" s="21" t="s">
        <v>121</v>
      </c>
      <c r="B67" s="22" t="s">
        <v>85</v>
      </c>
      <c r="C67" s="23" t="s">
        <v>120</v>
      </c>
      <c r="D67" s="24" t="n">
        <v>4</v>
      </c>
      <c r="E67" s="25" t="n">
        <f aca="false">INDEX($F$11:$F$102,MATCH($C67,$A$11:$A$102,0))</f>
        <v>46357</v>
      </c>
      <c r="F67" s="25" t="n">
        <f aca="false">E67+D67</f>
        <v>46361</v>
      </c>
      <c r="G67" s="26" t="s">
        <v>103</v>
      </c>
      <c r="H67" s="27"/>
      <c r="AC67" s="29"/>
      <c r="AN67" s="30"/>
    </row>
    <row r="68" customFormat="false" ht="14.25" hidden="false" customHeight="true" outlineLevel="0" collapsed="false">
      <c r="A68" s="21" t="s">
        <v>122</v>
      </c>
      <c r="B68" s="22" t="s">
        <v>87</v>
      </c>
      <c r="C68" s="23" t="s">
        <v>121</v>
      </c>
      <c r="D68" s="24" t="n">
        <v>15</v>
      </c>
      <c r="E68" s="25" t="n">
        <f aca="false">INDEX($F$11:$F$102,MATCH($C68,$A$11:$A$102,0))</f>
        <v>46361</v>
      </c>
      <c r="F68" s="25" t="n">
        <f aca="false">E68+D68</f>
        <v>46376</v>
      </c>
      <c r="G68" s="26" t="s">
        <v>103</v>
      </c>
      <c r="H68" s="27"/>
      <c r="AC68" s="29"/>
      <c r="AN68" s="30"/>
      <c r="AO68" s="30"/>
      <c r="AP68" s="30"/>
    </row>
    <row r="69" customFormat="false" ht="14.25" hidden="false" customHeight="true" outlineLevel="0" collapsed="false">
      <c r="A69" s="21" t="s">
        <v>123</v>
      </c>
      <c r="B69" s="22" t="s">
        <v>89</v>
      </c>
      <c r="C69" s="23" t="s">
        <v>122</v>
      </c>
      <c r="D69" s="24" t="n">
        <v>10</v>
      </c>
      <c r="E69" s="25" t="n">
        <f aca="false">INDEX($F$11:$F$102,MATCH($C69,$A$11:$A$102,0))</f>
        <v>46376</v>
      </c>
      <c r="F69" s="25" t="n">
        <f aca="false">E69+D69</f>
        <v>46386</v>
      </c>
      <c r="G69" s="26" t="s">
        <v>103</v>
      </c>
      <c r="H69" s="27"/>
      <c r="AC69" s="29"/>
      <c r="AP69" s="30"/>
      <c r="AQ69" s="30"/>
      <c r="AR69" s="30"/>
    </row>
    <row r="70" customFormat="false" ht="14.25" hidden="false" customHeight="true" outlineLevel="0" collapsed="false">
      <c r="A70" s="21" t="s">
        <v>124</v>
      </c>
      <c r="B70" s="22" t="s">
        <v>91</v>
      </c>
      <c r="C70" s="23" t="s">
        <v>123</v>
      </c>
      <c r="D70" s="24" t="n">
        <v>2</v>
      </c>
      <c r="E70" s="25" t="n">
        <f aca="false">INDEX($F$11:$F$102,MATCH($C70,$A$11:$A$102,0))</f>
        <v>46386</v>
      </c>
      <c r="F70" s="25" t="n">
        <f aca="false">E70+D70</f>
        <v>46388</v>
      </c>
      <c r="G70" s="26" t="s">
        <v>103</v>
      </c>
      <c r="H70" s="27"/>
      <c r="AC70" s="29"/>
      <c r="AR70" s="30"/>
    </row>
    <row r="71" customFormat="false" ht="14.25" hidden="false" customHeight="true" outlineLevel="0" collapsed="false">
      <c r="A71" s="21" t="s">
        <v>125</v>
      </c>
      <c r="B71" s="22" t="s">
        <v>46</v>
      </c>
      <c r="C71" s="23" t="s">
        <v>124</v>
      </c>
      <c r="D71" s="24" t="n">
        <v>1</v>
      </c>
      <c r="E71" s="25" t="n">
        <f aca="false">INDEX($F$11:$F$102,MATCH($C71,$A$11:$A$102,0))</f>
        <v>46388</v>
      </c>
      <c r="F71" s="25" t="n">
        <f aca="false">E71+D71</f>
        <v>46389</v>
      </c>
      <c r="G71" s="26" t="s">
        <v>103</v>
      </c>
      <c r="H71" s="27"/>
      <c r="AC71" s="29"/>
      <c r="AR71" s="30"/>
    </row>
    <row r="72" customFormat="false" ht="14.25" hidden="false" customHeight="true" outlineLevel="0" collapsed="false">
      <c r="A72" s="21" t="s">
        <v>126</v>
      </c>
      <c r="B72" s="22" t="s">
        <v>94</v>
      </c>
      <c r="C72" s="23" t="s">
        <v>125</v>
      </c>
      <c r="D72" s="24" t="n">
        <v>1</v>
      </c>
      <c r="E72" s="25" t="n">
        <f aca="false">INDEX($F$11:$F$102,MATCH($C72,$A$11:$A$102,0))</f>
        <v>46389</v>
      </c>
      <c r="F72" s="25" t="n">
        <f aca="false">E72+D72</f>
        <v>46390</v>
      </c>
      <c r="G72" s="26" t="s">
        <v>103</v>
      </c>
      <c r="H72" s="27"/>
      <c r="AC72" s="29"/>
      <c r="AR72" s="30"/>
    </row>
    <row r="73" customFormat="false" ht="14.25" hidden="false" customHeight="true" outlineLevel="0" collapsed="false">
      <c r="A73" s="17" t="s">
        <v>127</v>
      </c>
      <c r="B73" s="18"/>
      <c r="C73" s="18"/>
      <c r="D73" s="18"/>
      <c r="E73" s="18"/>
      <c r="F73" s="18"/>
      <c r="G73" s="19"/>
      <c r="H73" s="19"/>
      <c r="I73" s="18"/>
      <c r="J73" s="20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20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</row>
    <row r="74" customFormat="false" ht="14.25" hidden="false" customHeight="true" outlineLevel="0" collapsed="false">
      <c r="A74" s="21" t="s">
        <v>128</v>
      </c>
      <c r="B74" s="22" t="s">
        <v>79</v>
      </c>
      <c r="C74" s="23" t="s">
        <v>126</v>
      </c>
      <c r="D74" s="24" t="n">
        <v>2</v>
      </c>
      <c r="E74" s="25" t="n">
        <f aca="false">INDEX($F$11:$F$102,MATCH($C74,$A$11:$A$102,0))</f>
        <v>46390</v>
      </c>
      <c r="F74" s="25" t="n">
        <f aca="false">E74+D74</f>
        <v>46392</v>
      </c>
      <c r="G74" s="26" t="s">
        <v>103</v>
      </c>
      <c r="H74" s="27"/>
      <c r="AC74" s="29"/>
      <c r="AR74" s="30"/>
      <c r="AS74" s="30"/>
    </row>
    <row r="75" customFormat="false" ht="14.25" hidden="false" customHeight="true" outlineLevel="0" collapsed="false">
      <c r="A75" s="21" t="s">
        <v>129</v>
      </c>
      <c r="B75" s="22" t="s">
        <v>81</v>
      </c>
      <c r="C75" s="23" t="s">
        <v>128</v>
      </c>
      <c r="D75" s="24" t="n">
        <v>4</v>
      </c>
      <c r="E75" s="25" t="n">
        <f aca="false">INDEX($F$11:$F$102,MATCH($C75,$A$11:$A$102,0))</f>
        <v>46392</v>
      </c>
      <c r="F75" s="25" t="n">
        <f aca="false">E75+D75</f>
        <v>46396</v>
      </c>
      <c r="G75" s="26" t="s">
        <v>103</v>
      </c>
      <c r="H75" s="27"/>
      <c r="AC75" s="29"/>
      <c r="AS75" s="30"/>
    </row>
    <row r="76" customFormat="false" ht="14.25" hidden="false" customHeight="true" outlineLevel="0" collapsed="false">
      <c r="A76" s="21" t="s">
        <v>130</v>
      </c>
      <c r="B76" s="22" t="s">
        <v>83</v>
      </c>
      <c r="C76" s="23" t="s">
        <v>129</v>
      </c>
      <c r="D76" s="24" t="n">
        <v>3</v>
      </c>
      <c r="E76" s="25" t="n">
        <f aca="false">INDEX($F$11:$F$102,MATCH($C76,$A$11:$A$102,0))</f>
        <v>46396</v>
      </c>
      <c r="F76" s="25" t="n">
        <f aca="false">E76+D76</f>
        <v>46399</v>
      </c>
      <c r="G76" s="26" t="s">
        <v>103</v>
      </c>
      <c r="H76" s="27"/>
      <c r="AC76" s="29"/>
      <c r="AS76" s="30"/>
      <c r="AT76" s="30"/>
    </row>
    <row r="77" customFormat="false" ht="14.25" hidden="false" customHeight="true" outlineLevel="0" collapsed="false">
      <c r="A77" s="21" t="s">
        <v>131</v>
      </c>
      <c r="B77" s="22" t="s">
        <v>85</v>
      </c>
      <c r="C77" s="23" t="s">
        <v>130</v>
      </c>
      <c r="D77" s="24" t="n">
        <v>4</v>
      </c>
      <c r="E77" s="25" t="n">
        <f aca="false">INDEX($F$11:$F$102,MATCH($C77,$A$11:$A$102,0))</f>
        <v>46399</v>
      </c>
      <c r="F77" s="25" t="n">
        <f aca="false">E77+D77</f>
        <v>46403</v>
      </c>
      <c r="G77" s="26" t="s">
        <v>103</v>
      </c>
      <c r="H77" s="27"/>
      <c r="AC77" s="29"/>
      <c r="AT77" s="30"/>
    </row>
    <row r="78" customFormat="false" ht="14.25" hidden="false" customHeight="true" outlineLevel="0" collapsed="false">
      <c r="A78" s="21" t="s">
        <v>132</v>
      </c>
      <c r="B78" s="22" t="s">
        <v>87</v>
      </c>
      <c r="C78" s="23" t="s">
        <v>131</v>
      </c>
      <c r="D78" s="24" t="n">
        <v>15</v>
      </c>
      <c r="E78" s="25" t="n">
        <f aca="false">INDEX($F$11:$F$102,MATCH($C78,$A$11:$A$102,0))</f>
        <v>46403</v>
      </c>
      <c r="F78" s="25" t="n">
        <f aca="false">E78+D78</f>
        <v>46418</v>
      </c>
      <c r="G78" s="26" t="s">
        <v>103</v>
      </c>
      <c r="H78" s="27"/>
      <c r="AC78" s="29"/>
      <c r="AT78" s="30"/>
      <c r="AU78" s="30"/>
      <c r="AV78" s="30"/>
    </row>
    <row r="79" customFormat="false" ht="14.25" hidden="false" customHeight="true" outlineLevel="0" collapsed="false">
      <c r="A79" s="21" t="s">
        <v>133</v>
      </c>
      <c r="B79" s="22" t="s">
        <v>89</v>
      </c>
      <c r="C79" s="23" t="s">
        <v>132</v>
      </c>
      <c r="D79" s="24" t="n">
        <v>10</v>
      </c>
      <c r="E79" s="25" t="n">
        <f aca="false">INDEX($F$11:$F$102,MATCH($C79,$A$11:$A$102,0))</f>
        <v>46418</v>
      </c>
      <c r="F79" s="25" t="n">
        <f aca="false">E79+D79</f>
        <v>46428</v>
      </c>
      <c r="G79" s="26" t="s">
        <v>103</v>
      </c>
      <c r="H79" s="27"/>
      <c r="AC79" s="29"/>
      <c r="AV79" s="30"/>
      <c r="AW79" s="30"/>
      <c r="AX79" s="30"/>
    </row>
    <row r="80" customFormat="false" ht="14.25" hidden="false" customHeight="true" outlineLevel="0" collapsed="false">
      <c r="A80" s="21" t="s">
        <v>134</v>
      </c>
      <c r="B80" s="22" t="s">
        <v>91</v>
      </c>
      <c r="C80" s="23" t="s">
        <v>133</v>
      </c>
      <c r="D80" s="24" t="n">
        <v>2</v>
      </c>
      <c r="E80" s="25" t="n">
        <f aca="false">INDEX($F$11:$F$102,MATCH($C80,$A$11:$A$102,0))</f>
        <v>46428</v>
      </c>
      <c r="F80" s="25" t="n">
        <f aca="false">E80+D80</f>
        <v>46430</v>
      </c>
      <c r="G80" s="26" t="s">
        <v>103</v>
      </c>
      <c r="H80" s="27"/>
      <c r="AC80" s="29"/>
      <c r="AX80" s="30"/>
    </row>
    <row r="81" customFormat="false" ht="14.25" hidden="false" customHeight="true" outlineLevel="0" collapsed="false">
      <c r="A81" s="21" t="s">
        <v>135</v>
      </c>
      <c r="B81" s="22" t="s">
        <v>46</v>
      </c>
      <c r="C81" s="23" t="s">
        <v>134</v>
      </c>
      <c r="D81" s="24" t="n">
        <v>1</v>
      </c>
      <c r="E81" s="25" t="n">
        <f aca="false">INDEX($F$11:$F$102,MATCH($C81,$A$11:$A$102,0))</f>
        <v>46430</v>
      </c>
      <c r="F81" s="25" t="n">
        <f aca="false">E81+D81</f>
        <v>46431</v>
      </c>
      <c r="G81" s="26" t="s">
        <v>103</v>
      </c>
      <c r="H81" s="27"/>
      <c r="AC81" s="29"/>
      <c r="AX81" s="30"/>
    </row>
    <row r="82" customFormat="false" ht="14.25" hidden="false" customHeight="true" outlineLevel="0" collapsed="false">
      <c r="A82" s="21" t="s">
        <v>136</v>
      </c>
      <c r="B82" s="22" t="s">
        <v>94</v>
      </c>
      <c r="C82" s="23" t="s">
        <v>135</v>
      </c>
      <c r="D82" s="24" t="n">
        <v>1</v>
      </c>
      <c r="E82" s="25" t="n">
        <f aca="false">INDEX($F$11:$F$102,MATCH($C82,$A$11:$A$102,0))</f>
        <v>46431</v>
      </c>
      <c r="F82" s="25" t="n">
        <f aca="false">E82+D82</f>
        <v>46432</v>
      </c>
      <c r="G82" s="26" t="s">
        <v>103</v>
      </c>
      <c r="H82" s="27"/>
      <c r="AC82" s="29"/>
      <c r="AX82" s="30"/>
    </row>
    <row r="83" customFormat="false" ht="14.25" hidden="false" customHeight="true" outlineLevel="0" collapsed="false">
      <c r="A83" s="17" t="s">
        <v>137</v>
      </c>
      <c r="B83" s="18"/>
      <c r="C83" s="18"/>
      <c r="D83" s="18"/>
      <c r="E83" s="18"/>
      <c r="F83" s="18"/>
      <c r="G83" s="19"/>
      <c r="H83" s="19"/>
      <c r="I83" s="18"/>
      <c r="J83" s="20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20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</row>
    <row r="84" customFormat="false" ht="14.25" hidden="false" customHeight="true" outlineLevel="0" collapsed="false">
      <c r="A84" s="21" t="s">
        <v>138</v>
      </c>
      <c r="B84" s="22" t="s">
        <v>79</v>
      </c>
      <c r="C84" s="23" t="s">
        <v>136</v>
      </c>
      <c r="D84" s="24" t="n">
        <v>2</v>
      </c>
      <c r="E84" s="25" t="n">
        <f aca="false">INDEX($F$11:$F$102,MATCH($C84,$A$11:$A$102,0))</f>
        <v>46432</v>
      </c>
      <c r="F84" s="25" t="n">
        <f aca="false">E84+D84</f>
        <v>46434</v>
      </c>
      <c r="G84" s="26" t="s">
        <v>103</v>
      </c>
      <c r="H84" s="27"/>
      <c r="AC84" s="29"/>
      <c r="AX84" s="30"/>
      <c r="AY84" s="30"/>
    </row>
    <row r="85" customFormat="false" ht="14.25" hidden="false" customHeight="true" outlineLevel="0" collapsed="false">
      <c r="A85" s="21" t="s">
        <v>139</v>
      </c>
      <c r="B85" s="22" t="s">
        <v>81</v>
      </c>
      <c r="C85" s="23" t="s">
        <v>138</v>
      </c>
      <c r="D85" s="24" t="n">
        <v>4</v>
      </c>
      <c r="E85" s="25" t="n">
        <f aca="false">INDEX($F$11:$F$102,MATCH($C85,$A$11:$A$102,0))</f>
        <v>46434</v>
      </c>
      <c r="F85" s="25" t="n">
        <f aca="false">E85+D85</f>
        <v>46438</v>
      </c>
      <c r="G85" s="26" t="s">
        <v>103</v>
      </c>
      <c r="H85" s="27"/>
      <c r="AC85" s="29"/>
      <c r="AY85" s="30"/>
    </row>
    <row r="86" customFormat="false" ht="14.25" hidden="false" customHeight="true" outlineLevel="0" collapsed="false">
      <c r="A86" s="21" t="s">
        <v>140</v>
      </c>
      <c r="B86" s="22" t="s">
        <v>83</v>
      </c>
      <c r="C86" s="23" t="s">
        <v>139</v>
      </c>
      <c r="D86" s="24" t="n">
        <v>3</v>
      </c>
      <c r="E86" s="25" t="n">
        <f aca="false">INDEX($F$11:$F$102,MATCH($C86,$A$11:$A$102,0))</f>
        <v>46438</v>
      </c>
      <c r="F86" s="25" t="n">
        <f aca="false">E86+D86</f>
        <v>46441</v>
      </c>
      <c r="G86" s="26" t="s">
        <v>103</v>
      </c>
      <c r="H86" s="27"/>
      <c r="AC86" s="29"/>
      <c r="AY86" s="30"/>
      <c r="AZ86" s="30"/>
    </row>
    <row r="87" customFormat="false" ht="14.25" hidden="false" customHeight="true" outlineLevel="0" collapsed="false">
      <c r="A87" s="21" t="s">
        <v>141</v>
      </c>
      <c r="B87" s="22" t="s">
        <v>85</v>
      </c>
      <c r="C87" s="23" t="s">
        <v>140</v>
      </c>
      <c r="D87" s="24" t="n">
        <v>4</v>
      </c>
      <c r="E87" s="25" t="n">
        <f aca="false">INDEX($F$11:$F$102,MATCH($C87,$A$11:$A$102,0))</f>
        <v>46441</v>
      </c>
      <c r="F87" s="25" t="n">
        <f aca="false">E87+D87</f>
        <v>46445</v>
      </c>
      <c r="G87" s="26" t="s">
        <v>103</v>
      </c>
      <c r="H87" s="27"/>
      <c r="AC87" s="29"/>
      <c r="AZ87" s="30"/>
    </row>
    <row r="88" customFormat="false" ht="14.25" hidden="false" customHeight="true" outlineLevel="0" collapsed="false">
      <c r="A88" s="21" t="s">
        <v>142</v>
      </c>
      <c r="B88" s="22" t="s">
        <v>87</v>
      </c>
      <c r="C88" s="23" t="s">
        <v>141</v>
      </c>
      <c r="D88" s="24" t="n">
        <v>15</v>
      </c>
      <c r="E88" s="25" t="n">
        <f aca="false">INDEX($F$11:$F$102,MATCH($C88,$A$11:$A$102,0))</f>
        <v>46445</v>
      </c>
      <c r="F88" s="25" t="n">
        <f aca="false">E88+D88</f>
        <v>46460</v>
      </c>
      <c r="G88" s="26" t="s">
        <v>103</v>
      </c>
      <c r="H88" s="27"/>
      <c r="AC88" s="29"/>
      <c r="AZ88" s="30"/>
      <c r="BA88" s="30"/>
      <c r="BB88" s="30"/>
    </row>
    <row r="89" customFormat="false" ht="14.25" hidden="false" customHeight="true" outlineLevel="0" collapsed="false">
      <c r="A89" s="21" t="s">
        <v>143</v>
      </c>
      <c r="B89" s="22" t="s">
        <v>89</v>
      </c>
      <c r="C89" s="23" t="s">
        <v>142</v>
      </c>
      <c r="D89" s="24" t="n">
        <v>10</v>
      </c>
      <c r="E89" s="25" t="n">
        <f aca="false">INDEX($F$11:$F$102,MATCH($C89,$A$11:$A$102,0))</f>
        <v>46460</v>
      </c>
      <c r="F89" s="25" t="n">
        <f aca="false">E89+D89</f>
        <v>46470</v>
      </c>
      <c r="G89" s="26" t="s">
        <v>103</v>
      </c>
      <c r="H89" s="27"/>
      <c r="AC89" s="29"/>
      <c r="BB89" s="30"/>
      <c r="BC89" s="30"/>
      <c r="BD89" s="30"/>
    </row>
    <row r="90" customFormat="false" ht="14.25" hidden="false" customHeight="true" outlineLevel="0" collapsed="false">
      <c r="A90" s="21" t="s">
        <v>144</v>
      </c>
      <c r="B90" s="22" t="s">
        <v>91</v>
      </c>
      <c r="C90" s="23" t="s">
        <v>143</v>
      </c>
      <c r="D90" s="24" t="n">
        <v>2</v>
      </c>
      <c r="E90" s="25" t="n">
        <f aca="false">INDEX($F$11:$F$102,MATCH($C90,$A$11:$A$102,0))</f>
        <v>46470</v>
      </c>
      <c r="F90" s="25" t="n">
        <f aca="false">E90+D90</f>
        <v>46472</v>
      </c>
      <c r="G90" s="26" t="s">
        <v>103</v>
      </c>
      <c r="H90" s="27"/>
      <c r="AC90" s="29"/>
      <c r="BD90" s="30"/>
    </row>
    <row r="91" customFormat="false" ht="14.25" hidden="false" customHeight="true" outlineLevel="0" collapsed="false">
      <c r="A91" s="21" t="s">
        <v>145</v>
      </c>
      <c r="B91" s="22" t="s">
        <v>46</v>
      </c>
      <c r="C91" s="23" t="s">
        <v>144</v>
      </c>
      <c r="D91" s="24" t="n">
        <v>1</v>
      </c>
      <c r="E91" s="25" t="n">
        <f aca="false">INDEX($F$11:$F$102,MATCH($C91,$A$11:$A$102,0))</f>
        <v>46472</v>
      </c>
      <c r="F91" s="25" t="n">
        <f aca="false">E91+D91</f>
        <v>46473</v>
      </c>
      <c r="G91" s="26" t="s">
        <v>103</v>
      </c>
      <c r="H91" s="27"/>
      <c r="AC91" s="29"/>
      <c r="BD91" s="30"/>
    </row>
    <row r="92" customFormat="false" ht="14.25" hidden="false" customHeight="true" outlineLevel="0" collapsed="false">
      <c r="A92" s="21" t="s">
        <v>146</v>
      </c>
      <c r="B92" s="22" t="s">
        <v>94</v>
      </c>
      <c r="C92" s="23" t="s">
        <v>145</v>
      </c>
      <c r="D92" s="24" t="n">
        <v>1</v>
      </c>
      <c r="E92" s="25" t="n">
        <f aca="false">INDEX($F$11:$F$102,MATCH($C92,$A$11:$A$102,0))</f>
        <v>46473</v>
      </c>
      <c r="F92" s="25" t="n">
        <f aca="false">E92+D92</f>
        <v>46474</v>
      </c>
      <c r="G92" s="26" t="s">
        <v>103</v>
      </c>
      <c r="H92" s="27"/>
      <c r="AC92" s="29"/>
      <c r="BD92" s="30"/>
    </row>
    <row r="93" customFormat="false" ht="14.25" hidden="false" customHeight="true" outlineLevel="0" collapsed="false">
      <c r="A93" s="17" t="s">
        <v>147</v>
      </c>
      <c r="B93" s="18"/>
      <c r="C93" s="18"/>
      <c r="D93" s="18"/>
      <c r="E93" s="18"/>
      <c r="F93" s="18"/>
      <c r="G93" s="19"/>
      <c r="H93" s="19"/>
      <c r="I93" s="18"/>
      <c r="J93" s="20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20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</row>
    <row r="94" customFormat="false" ht="14.25" hidden="false" customHeight="true" outlineLevel="0" collapsed="false">
      <c r="A94" s="21" t="s">
        <v>148</v>
      </c>
      <c r="B94" s="22" t="s">
        <v>79</v>
      </c>
      <c r="C94" s="23" t="s">
        <v>146</v>
      </c>
      <c r="D94" s="24" t="n">
        <v>2</v>
      </c>
      <c r="E94" s="25" t="n">
        <f aca="false">INDEX($F$11:$F$102,MATCH($C94,$A$11:$A$102,0))</f>
        <v>46474</v>
      </c>
      <c r="F94" s="25" t="n">
        <f aca="false">E94+D94</f>
        <v>46476</v>
      </c>
      <c r="G94" s="26" t="s">
        <v>103</v>
      </c>
      <c r="H94" s="27"/>
      <c r="AC94" s="29"/>
      <c r="BD94" s="30"/>
      <c r="BE94" s="30"/>
    </row>
    <row r="95" customFormat="false" ht="14.25" hidden="false" customHeight="true" outlineLevel="0" collapsed="false">
      <c r="A95" s="21" t="s">
        <v>149</v>
      </c>
      <c r="B95" s="22" t="s">
        <v>81</v>
      </c>
      <c r="C95" s="23" t="s">
        <v>148</v>
      </c>
      <c r="D95" s="24" t="n">
        <v>4</v>
      </c>
      <c r="E95" s="25" t="n">
        <f aca="false">INDEX($F$11:$F$102,MATCH($C95,$A$11:$A$102,0))</f>
        <v>46476</v>
      </c>
      <c r="F95" s="25" t="n">
        <f aca="false">E95+D95</f>
        <v>46480</v>
      </c>
      <c r="G95" s="26" t="s">
        <v>103</v>
      </c>
      <c r="H95" s="27"/>
      <c r="AC95" s="29"/>
      <c r="BE95" s="30"/>
    </row>
    <row r="96" customFormat="false" ht="14.25" hidden="false" customHeight="true" outlineLevel="0" collapsed="false">
      <c r="A96" s="21" t="s">
        <v>150</v>
      </c>
      <c r="B96" s="22" t="s">
        <v>83</v>
      </c>
      <c r="C96" s="23" t="s">
        <v>149</v>
      </c>
      <c r="D96" s="24" t="n">
        <v>3</v>
      </c>
      <c r="E96" s="25" t="n">
        <f aca="false">INDEX($F$11:$F$102,MATCH($C96,$A$11:$A$102,0))</f>
        <v>46480</v>
      </c>
      <c r="F96" s="25" t="n">
        <f aca="false">E96+D96</f>
        <v>46483</v>
      </c>
      <c r="G96" s="26" t="s">
        <v>103</v>
      </c>
      <c r="H96" s="27"/>
      <c r="AC96" s="29"/>
      <c r="BE96" s="30"/>
      <c r="BF96" s="30"/>
    </row>
    <row r="97" customFormat="false" ht="14.25" hidden="false" customHeight="true" outlineLevel="0" collapsed="false">
      <c r="A97" s="21" t="s">
        <v>151</v>
      </c>
      <c r="B97" s="22" t="s">
        <v>85</v>
      </c>
      <c r="C97" s="23" t="s">
        <v>150</v>
      </c>
      <c r="D97" s="24" t="n">
        <v>4</v>
      </c>
      <c r="E97" s="25" t="n">
        <f aca="false">INDEX($F$11:$F$102,MATCH($C97,$A$11:$A$102,0))</f>
        <v>46483</v>
      </c>
      <c r="F97" s="25" t="n">
        <f aca="false">E97+D97</f>
        <v>46487</v>
      </c>
      <c r="G97" s="26" t="s">
        <v>103</v>
      </c>
      <c r="H97" s="27"/>
      <c r="AC97" s="29"/>
      <c r="BF97" s="30"/>
    </row>
    <row r="98" customFormat="false" ht="14.25" hidden="false" customHeight="true" outlineLevel="0" collapsed="false">
      <c r="A98" s="21" t="s">
        <v>152</v>
      </c>
      <c r="B98" s="22" t="s">
        <v>87</v>
      </c>
      <c r="C98" s="23" t="s">
        <v>151</v>
      </c>
      <c r="D98" s="24" t="n">
        <v>7</v>
      </c>
      <c r="E98" s="25" t="n">
        <f aca="false">INDEX($F$11:$F$102,MATCH($C98,$A$11:$A$102,0))</f>
        <v>46487</v>
      </c>
      <c r="F98" s="25" t="n">
        <f aca="false">E98+D98</f>
        <v>46494</v>
      </c>
      <c r="G98" s="26" t="s">
        <v>103</v>
      </c>
      <c r="H98" s="27"/>
      <c r="AC98" s="29"/>
      <c r="BF98" s="30"/>
      <c r="BG98" s="30"/>
    </row>
    <row r="99" customFormat="false" ht="14.25" hidden="false" customHeight="true" outlineLevel="0" collapsed="false">
      <c r="A99" s="21" t="s">
        <v>153</v>
      </c>
      <c r="B99" s="22" t="s">
        <v>89</v>
      </c>
      <c r="C99" s="23" t="s">
        <v>152</v>
      </c>
      <c r="D99" s="24" t="n">
        <v>7</v>
      </c>
      <c r="E99" s="25" t="n">
        <f aca="false">INDEX($F$11:$F$102,MATCH($C99,$A$11:$A$102,0))</f>
        <v>46494</v>
      </c>
      <c r="F99" s="25" t="n">
        <f aca="false">E99+D99</f>
        <v>46501</v>
      </c>
      <c r="G99" s="26" t="s">
        <v>103</v>
      </c>
      <c r="H99" s="27"/>
      <c r="AC99" s="29"/>
      <c r="BG99" s="30"/>
      <c r="BH99" s="30"/>
    </row>
    <row r="100" customFormat="false" ht="14.25" hidden="false" customHeight="true" outlineLevel="0" collapsed="false">
      <c r="A100" s="21" t="s">
        <v>154</v>
      </c>
      <c r="B100" s="22" t="s">
        <v>91</v>
      </c>
      <c r="C100" s="23" t="s">
        <v>153</v>
      </c>
      <c r="D100" s="24" t="n">
        <v>2</v>
      </c>
      <c r="E100" s="25" t="n">
        <f aca="false">INDEX($F$11:$F$102,MATCH($C100,$A$11:$A$102,0))</f>
        <v>46501</v>
      </c>
      <c r="F100" s="25" t="n">
        <f aca="false">E100+D100</f>
        <v>46503</v>
      </c>
      <c r="G100" s="26" t="s">
        <v>103</v>
      </c>
      <c r="H100" s="27"/>
      <c r="AC100" s="29"/>
      <c r="BH100" s="30"/>
      <c r="BI100" s="30"/>
    </row>
    <row r="101" customFormat="false" ht="14.25" hidden="false" customHeight="true" outlineLevel="0" collapsed="false">
      <c r="A101" s="21" t="s">
        <v>155</v>
      </c>
      <c r="B101" s="22" t="s">
        <v>46</v>
      </c>
      <c r="C101" s="23" t="s">
        <v>154</v>
      </c>
      <c r="D101" s="24" t="n">
        <v>1</v>
      </c>
      <c r="E101" s="25" t="n">
        <f aca="false">INDEX($F$11:$F$102,MATCH($C101,$A$11:$A$102,0))</f>
        <v>46503</v>
      </c>
      <c r="F101" s="25" t="n">
        <f aca="false">E101+D101</f>
        <v>46504</v>
      </c>
      <c r="G101" s="26" t="s">
        <v>103</v>
      </c>
      <c r="H101" s="27"/>
      <c r="AC101" s="29"/>
      <c r="BI101" s="30"/>
    </row>
    <row r="102" customFormat="false" ht="14.25" hidden="false" customHeight="true" outlineLevel="0" collapsed="false">
      <c r="A102" s="21" t="s">
        <v>156</v>
      </c>
      <c r="B102" s="22" t="s">
        <v>94</v>
      </c>
      <c r="C102" s="23" t="s">
        <v>155</v>
      </c>
      <c r="D102" s="24" t="n">
        <v>1</v>
      </c>
      <c r="E102" s="25" t="n">
        <f aca="false">INDEX($F$11:$F$102,MATCH($C102,$A$11:$A$102,0))</f>
        <v>46504</v>
      </c>
      <c r="F102" s="25" t="n">
        <f aca="false">E102+D102</f>
        <v>46505</v>
      </c>
      <c r="G102" s="26" t="s">
        <v>103</v>
      </c>
      <c r="H102" s="27"/>
      <c r="AC102" s="29"/>
      <c r="BI102" s="30"/>
    </row>
    <row r="103" customFormat="false" ht="14.25" hidden="false" customHeight="true" outlineLevel="0" collapsed="false"/>
    <row r="104" customFormat="false" ht="14.25" hidden="false" customHeight="true" outlineLevel="0" collapsed="false">
      <c r="A104" s="32" t="s">
        <v>157</v>
      </c>
    </row>
    <row r="105" customFormat="false" ht="14.25" hidden="false" customHeight="true" outlineLevel="0" collapsed="false">
      <c r="A105" s="32" t="s">
        <v>158</v>
      </c>
    </row>
    <row r="106" customFormat="false" ht="14.25" hidden="false" customHeight="true" outlineLevel="0" collapsed="false">
      <c r="A106" s="32" t="s">
        <v>159</v>
      </c>
    </row>
    <row r="107" customFormat="false" ht="14.25" hidden="false" customHeight="true" outlineLevel="0" collapsed="false">
      <c r="A107" s="33" t="s">
        <v>160</v>
      </c>
    </row>
  </sheetData>
  <mergeCells count="12">
    <mergeCell ref="J8:M8"/>
    <mergeCell ref="N8:R8"/>
    <mergeCell ref="S8:V8"/>
    <mergeCell ref="W8:AA8"/>
    <mergeCell ref="AB8:AE8"/>
    <mergeCell ref="AF8:AI8"/>
    <mergeCell ref="AJ8:AN8"/>
    <mergeCell ref="AO8:AR8"/>
    <mergeCell ref="AS8:AV8"/>
    <mergeCell ref="AW8:AZ8"/>
    <mergeCell ref="BA8:BE8"/>
    <mergeCell ref="BF8:B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2026-08-13T10:32:50Z</dcterms:created>
  <dc:creator>openpyxl</dc:creator>
  <dc:description/>
  <dc:language>en-US</dc:language>
  <cp:lastModifiedBy>Chandra, Mr. Chinmay</cp:lastModifiedBy>
  <dcterms:modified xsi:type="dcterms:W3CDTF">2026-09-21T19:41:29Z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